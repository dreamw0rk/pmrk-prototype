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ustomProperty3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Методология\Единая методика скоринга\Методика\На согласование\На загрузку 1\"/>
    </mc:Choice>
  </mc:AlternateContent>
  <bookViews>
    <workbookView xWindow="-15" yWindow="0" windowWidth="13095" windowHeight="10665"/>
  </bookViews>
  <sheets>
    <sheet name="РСБУ расчет лимита" sheetId="10" r:id="rId1"/>
    <sheet name="РСБУ отчетность" sheetId="4" r:id="rId2"/>
    <sheet name="Подложка" sheetId="7" r:id="rId3"/>
    <sheet name="МСФО расчет лимита" sheetId="11" r:id="rId4"/>
    <sheet name="МСФО отчетность" sheetId="5" r:id="rId5"/>
  </sheets>
  <definedNames>
    <definedName name="Дисциплина" localSheetId="3">#REF!</definedName>
    <definedName name="Дисциплина">#REF!</definedName>
    <definedName name="_xlnm.Print_Area" localSheetId="4">'МСФО отчетность'!$A$1:$G$62</definedName>
    <definedName name="_xlnm.Print_Area" localSheetId="3">'МСФО расчет лимита'!$B$1:$M$92</definedName>
    <definedName name="_xlnm.Print_Area" localSheetId="1">'РСБУ отчетность'!$A$1:$G$76</definedName>
    <definedName name="_xlnm.Print_Area" localSheetId="0">'РСБУ расчет лимита'!$B$1:$M$95</definedName>
    <definedName name="Опыт" localSheetId="3">#REF!</definedName>
    <definedName name="Опыт">#REF!</definedName>
    <definedName name="ПДЗ" localSheetId="3">#REF!</definedName>
    <definedName name="ПДЗ" localSheetId="0">#REF!</definedName>
    <definedName name="ПДЗ">#REF!</definedName>
  </definedNames>
  <calcPr calcId="162913"/>
</workbook>
</file>

<file path=xl/calcChain.xml><?xml version="1.0" encoding="utf-8"?>
<calcChain xmlns="http://schemas.openxmlformats.org/spreadsheetml/2006/main">
  <c r="K51" i="11" l="1"/>
  <c r="K50" i="11"/>
  <c r="J50" i="11"/>
  <c r="E29" i="7" l="1"/>
  <c r="E14" i="5"/>
  <c r="F74" i="5"/>
  <c r="L34" i="11" s="1"/>
  <c r="G74" i="5"/>
  <c r="E74" i="5"/>
  <c r="J34" i="11" s="1"/>
  <c r="F70" i="5"/>
  <c r="G70" i="5"/>
  <c r="E70" i="5"/>
  <c r="F68" i="5"/>
  <c r="G68" i="5"/>
  <c r="F25" i="5"/>
  <c r="G25" i="5"/>
  <c r="E25" i="5"/>
  <c r="J30" i="11" l="1"/>
  <c r="AG98" i="7"/>
  <c r="M98" i="7"/>
  <c r="O98" i="7"/>
  <c r="AN98" i="7"/>
  <c r="T98" i="7"/>
  <c r="AL98" i="7"/>
  <c r="R98" i="7"/>
  <c r="AS98" i="7"/>
  <c r="Y98" i="7"/>
  <c r="AR98" i="7"/>
  <c r="X98" i="7"/>
  <c r="W98" i="7"/>
  <c r="H98" i="7"/>
  <c r="N98" i="7"/>
  <c r="AM98" i="7"/>
  <c r="S98" i="7"/>
  <c r="I98" i="7"/>
  <c r="AB98" i="7"/>
  <c r="AI98" i="7"/>
  <c r="AQ98" i="7"/>
  <c r="AH98" i="7"/>
  <c r="AD98" i="7"/>
  <c r="J98" i="7"/>
  <c r="AC98" i="7"/>
  <c r="E98" i="7"/>
  <c r="D98" i="7"/>
  <c r="C98" i="7"/>
  <c r="L30" i="11"/>
  <c r="AI108" i="7"/>
  <c r="O108" i="7"/>
  <c r="D108" i="7"/>
  <c r="AH108" i="7"/>
  <c r="N108" i="7"/>
  <c r="E108" i="7"/>
  <c r="AM108" i="7"/>
  <c r="S108" i="7"/>
  <c r="AC108" i="7"/>
  <c r="AG108" i="7"/>
  <c r="M108" i="7"/>
  <c r="H108" i="7"/>
  <c r="AN108" i="7"/>
  <c r="T108" i="7"/>
  <c r="AL108" i="7"/>
  <c r="R108" i="7"/>
  <c r="AD108" i="7"/>
  <c r="AS108" i="7"/>
  <c r="Y108" i="7"/>
  <c r="J108" i="7"/>
  <c r="I108" i="7"/>
  <c r="AR108" i="7"/>
  <c r="X108" i="7"/>
  <c r="W108" i="7"/>
  <c r="C108" i="7"/>
  <c r="AB108" i="7"/>
  <c r="AQ108" i="7"/>
  <c r="B90" i="11"/>
  <c r="B89" i="11"/>
  <c r="B81" i="11"/>
  <c r="B80" i="11"/>
  <c r="B77" i="11"/>
  <c r="B78" i="11"/>
  <c r="B75" i="11"/>
  <c r="B78" i="10"/>
  <c r="L22" i="11"/>
  <c r="L54" i="11"/>
  <c r="J54" i="11"/>
  <c r="J48" i="11"/>
  <c r="L39" i="11"/>
  <c r="J39" i="11"/>
  <c r="L14" i="11"/>
  <c r="J22" i="11"/>
  <c r="B18" i="11"/>
  <c r="B17" i="11"/>
  <c r="Z108" i="7" l="1"/>
  <c r="AA108" i="7" s="1"/>
  <c r="AO98" i="7"/>
  <c r="AP98" i="7" s="1"/>
  <c r="U98" i="7"/>
  <c r="V98" i="7" s="1"/>
  <c r="K108" i="7"/>
  <c r="L108" i="7" s="1"/>
  <c r="AE108" i="7"/>
  <c r="AF108" i="7" s="1"/>
  <c r="U108" i="7"/>
  <c r="V108" i="7" s="1"/>
  <c r="AT108" i="7"/>
  <c r="AU108" i="7" s="1"/>
  <c r="AO108" i="7"/>
  <c r="AP108" i="7" s="1"/>
  <c r="AT98" i="7"/>
  <c r="AU98" i="7" s="1"/>
  <c r="F108" i="7"/>
  <c r="G108" i="7" s="1"/>
  <c r="AE98" i="7"/>
  <c r="AF98" i="7" s="1"/>
  <c r="P108" i="7"/>
  <c r="Q108" i="7" s="1"/>
  <c r="AJ108" i="7"/>
  <c r="AK108" i="7" s="1"/>
  <c r="F98" i="7"/>
  <c r="G98" i="7" s="1"/>
  <c r="P98" i="7"/>
  <c r="Q98" i="7" s="1"/>
  <c r="K98" i="7"/>
  <c r="L98" i="7" s="1"/>
  <c r="AJ98" i="7"/>
  <c r="AK98" i="7" s="1"/>
  <c r="Z98" i="7"/>
  <c r="AA98" i="7" s="1"/>
  <c r="K30" i="11"/>
  <c r="L77" i="11"/>
  <c r="J77" i="11"/>
  <c r="L72" i="11"/>
  <c r="L71" i="11"/>
  <c r="K65" i="11"/>
  <c r="K64" i="11"/>
  <c r="M42" i="11"/>
  <c r="K42" i="11"/>
  <c r="M41" i="11"/>
  <c r="K41" i="11"/>
  <c r="I35" i="11"/>
  <c r="I55" i="11" s="1"/>
  <c r="L76" i="11"/>
  <c r="J76" i="11"/>
  <c r="H14" i="11" l="1"/>
  <c r="M43" i="11"/>
  <c r="L73" i="11"/>
  <c r="J88" i="11" s="1"/>
  <c r="K43" i="11"/>
  <c r="K66" i="11"/>
  <c r="L87" i="11" s="1"/>
  <c r="L88" i="11" l="1"/>
  <c r="J87" i="11"/>
  <c r="M42" i="10" l="1"/>
  <c r="K42" i="10"/>
  <c r="A29" i="7" l="1"/>
  <c r="J50" i="10" l="1"/>
  <c r="K50" i="10"/>
  <c r="L75" i="10" l="1"/>
  <c r="L74" i="10"/>
  <c r="B93" i="10"/>
  <c r="B92" i="10"/>
  <c r="B84" i="10"/>
  <c r="B83" i="10"/>
  <c r="B81" i="10"/>
  <c r="L80" i="10"/>
  <c r="J80" i="10"/>
  <c r="B80" i="10"/>
  <c r="K68" i="10"/>
  <c r="K67" i="10"/>
  <c r="L57" i="10"/>
  <c r="J57" i="10"/>
  <c r="K53" i="10"/>
  <c r="K51" i="10"/>
  <c r="J48" i="10"/>
  <c r="M41" i="10"/>
  <c r="K41" i="10"/>
  <c r="L39" i="10"/>
  <c r="J39" i="10"/>
  <c r="I35" i="10"/>
  <c r="I58" i="10" s="1"/>
  <c r="L22" i="10"/>
  <c r="L79" i="10" s="1"/>
  <c r="J22" i="10"/>
  <c r="J79" i="10" s="1"/>
  <c r="B18" i="10"/>
  <c r="B17" i="10"/>
  <c r="K10" i="10"/>
  <c r="K69" i="10" l="1"/>
  <c r="L76" i="10"/>
  <c r="J91" i="10" s="1"/>
  <c r="K43" i="10"/>
  <c r="M43" i="10"/>
  <c r="K54" i="10"/>
  <c r="H14" i="10"/>
  <c r="L14" i="10"/>
  <c r="L91" i="10" l="1"/>
  <c r="F89" i="4"/>
  <c r="M34" i="11" s="1"/>
  <c r="E89" i="4"/>
  <c r="K34" i="11" s="1"/>
  <c r="G89" i="4"/>
  <c r="F83" i="4"/>
  <c r="G83" i="4"/>
  <c r="F85" i="4"/>
  <c r="G85" i="4"/>
  <c r="E85" i="4"/>
  <c r="E8" i="4"/>
  <c r="L28" i="10" l="1"/>
  <c r="J34" i="10"/>
  <c r="K34" i="10" s="1"/>
  <c r="L30" i="10"/>
  <c r="J30" i="10"/>
  <c r="L34" i="10"/>
  <c r="M34" i="10" s="1"/>
  <c r="AQ61" i="7"/>
  <c r="AS61" i="7"/>
  <c r="AR61" i="7"/>
  <c r="AS59" i="7"/>
  <c r="AR59" i="7"/>
  <c r="AQ59" i="7"/>
  <c r="AN61" i="7"/>
  <c r="AM61" i="7"/>
  <c r="AL61" i="7"/>
  <c r="AN59" i="7"/>
  <c r="AM59" i="7"/>
  <c r="AL59" i="7"/>
  <c r="AH61" i="7"/>
  <c r="AG61" i="7"/>
  <c r="AI61" i="7"/>
  <c r="AI59" i="7"/>
  <c r="AH59" i="7"/>
  <c r="AG59" i="7"/>
  <c r="AD61" i="7"/>
  <c r="AC61" i="7"/>
  <c r="AB61" i="7"/>
  <c r="AD59" i="7"/>
  <c r="AC59" i="7"/>
  <c r="AB59" i="7"/>
  <c r="X61" i="7"/>
  <c r="W61" i="7"/>
  <c r="Y61" i="7"/>
  <c r="W59" i="7"/>
  <c r="Y59" i="7"/>
  <c r="X59" i="7"/>
  <c r="T59" i="7"/>
  <c r="S59" i="7"/>
  <c r="R59" i="7"/>
  <c r="T61" i="7"/>
  <c r="S61" i="7"/>
  <c r="R61" i="7"/>
  <c r="M61" i="7"/>
  <c r="O61" i="7"/>
  <c r="N61" i="7"/>
  <c r="O59" i="7"/>
  <c r="N59" i="7"/>
  <c r="M59" i="7"/>
  <c r="E61" i="7"/>
  <c r="H61" i="7"/>
  <c r="I61" i="7"/>
  <c r="J61" i="7"/>
  <c r="E59" i="7"/>
  <c r="J59" i="7"/>
  <c r="I59" i="7"/>
  <c r="H59" i="7"/>
  <c r="D61" i="7"/>
  <c r="C61" i="7"/>
  <c r="D59" i="7"/>
  <c r="C59" i="7"/>
  <c r="AQ51" i="7"/>
  <c r="AR51" i="7"/>
  <c r="AS51" i="7"/>
  <c r="AL51" i="7"/>
  <c r="AM51" i="7"/>
  <c r="AN51" i="7"/>
  <c r="AG51" i="7"/>
  <c r="AI51" i="7"/>
  <c r="AH51" i="7"/>
  <c r="AB51" i="7"/>
  <c r="AD51" i="7"/>
  <c r="AC51" i="7"/>
  <c r="W51" i="7"/>
  <c r="Y51" i="7"/>
  <c r="X51" i="7"/>
  <c r="T51" i="7"/>
  <c r="S51" i="7"/>
  <c r="R51" i="7"/>
  <c r="N51" i="7"/>
  <c r="O51" i="7"/>
  <c r="M51" i="7"/>
  <c r="J51" i="7"/>
  <c r="I51" i="7"/>
  <c r="H51" i="7"/>
  <c r="D51" i="7"/>
  <c r="E51" i="7"/>
  <c r="C51" i="7"/>
  <c r="K61" i="7" l="1"/>
  <c r="L61" i="7" s="1"/>
  <c r="P61" i="7"/>
  <c r="Q61" i="7" s="1"/>
  <c r="Z61" i="7"/>
  <c r="AA61" i="7" s="1"/>
  <c r="U61" i="7"/>
  <c r="V61" i="7" s="1"/>
  <c r="AE61" i="7"/>
  <c r="AF61" i="7" s="1"/>
  <c r="AT61" i="7"/>
  <c r="AU61" i="7" s="1"/>
  <c r="AJ61" i="7"/>
  <c r="AK61" i="7" s="1"/>
  <c r="AO61" i="7"/>
  <c r="AP61" i="7" s="1"/>
  <c r="M30" i="11" s="1"/>
  <c r="F61" i="7"/>
  <c r="G61" i="7" s="1"/>
  <c r="AT51" i="7"/>
  <c r="AU51" i="7" s="1"/>
  <c r="AO51" i="7"/>
  <c r="AP51" i="7" s="1"/>
  <c r="AJ51" i="7"/>
  <c r="AK51" i="7" s="1"/>
  <c r="AE51" i="7"/>
  <c r="AF51" i="7" s="1"/>
  <c r="Z51" i="7"/>
  <c r="AA51" i="7" s="1"/>
  <c r="U51" i="7"/>
  <c r="V51" i="7" s="1"/>
  <c r="P51" i="7"/>
  <c r="Q51" i="7" s="1"/>
  <c r="K51" i="7"/>
  <c r="L51" i="7" s="1"/>
  <c r="M30" i="10" l="1"/>
  <c r="K30" i="10"/>
  <c r="F7" i="4"/>
  <c r="E7" i="4"/>
  <c r="E19" i="4"/>
  <c r="J80" i="11" s="1"/>
  <c r="J83" i="10" l="1"/>
  <c r="E54" i="4"/>
  <c r="E72" i="4" l="1"/>
  <c r="E84" i="4" l="1"/>
  <c r="E81" i="4"/>
  <c r="L90" i="10" l="1"/>
  <c r="J90" i="10"/>
  <c r="J26" i="10"/>
  <c r="J29" i="10"/>
  <c r="AS47" i="7"/>
  <c r="AQ47" i="7"/>
  <c r="AR47" i="7"/>
  <c r="AR50" i="7"/>
  <c r="AQ50" i="7"/>
  <c r="AS50" i="7"/>
  <c r="AM47" i="7"/>
  <c r="AL47" i="7"/>
  <c r="AN47" i="7"/>
  <c r="AM50" i="7"/>
  <c r="AL50" i="7"/>
  <c r="AN50" i="7"/>
  <c r="AH47" i="7"/>
  <c r="AI47" i="7"/>
  <c r="AG47" i="7"/>
  <c r="AH50" i="7"/>
  <c r="AI50" i="7"/>
  <c r="AG50" i="7"/>
  <c r="AB47" i="7"/>
  <c r="AC47" i="7"/>
  <c r="AD47" i="7"/>
  <c r="AB50" i="7"/>
  <c r="AD50" i="7"/>
  <c r="AC50" i="7"/>
  <c r="Y47" i="7"/>
  <c r="W47" i="7"/>
  <c r="X47" i="7"/>
  <c r="X50" i="7"/>
  <c r="Y50" i="7"/>
  <c r="W50" i="7"/>
  <c r="T47" i="7"/>
  <c r="S47" i="7"/>
  <c r="R47" i="7"/>
  <c r="T50" i="7"/>
  <c r="S50" i="7"/>
  <c r="R50" i="7"/>
  <c r="O47" i="7"/>
  <c r="N47" i="7"/>
  <c r="M47" i="7"/>
  <c r="O50" i="7"/>
  <c r="N50" i="7"/>
  <c r="M50" i="7"/>
  <c r="I47" i="7"/>
  <c r="H47" i="7"/>
  <c r="J47" i="7"/>
  <c r="I50" i="7"/>
  <c r="H50" i="7"/>
  <c r="J50" i="7"/>
  <c r="D50" i="7"/>
  <c r="D47" i="7"/>
  <c r="E47" i="7"/>
  <c r="C47" i="7"/>
  <c r="U47" i="7" l="1"/>
  <c r="V47" i="7" s="1"/>
  <c r="P50" i="7"/>
  <c r="Q50" i="7" s="1"/>
  <c r="U50" i="7"/>
  <c r="V50" i="7" s="1"/>
  <c r="AT50" i="7"/>
  <c r="AU50" i="7" s="1"/>
  <c r="AT47" i="7"/>
  <c r="AU47" i="7" s="1"/>
  <c r="AO47" i="7"/>
  <c r="AP47" i="7" s="1"/>
  <c r="AJ50" i="7"/>
  <c r="AK50" i="7" s="1"/>
  <c r="AJ47" i="7"/>
  <c r="AK47" i="7" s="1"/>
  <c r="AO50" i="7"/>
  <c r="AP50" i="7" s="1"/>
  <c r="AE47" i="7"/>
  <c r="AF47" i="7" s="1"/>
  <c r="AE50" i="7"/>
  <c r="AF50" i="7" s="1"/>
  <c r="Z50" i="7"/>
  <c r="AA50" i="7" s="1"/>
  <c r="Z47" i="7"/>
  <c r="AA47" i="7" s="1"/>
  <c r="P47" i="7"/>
  <c r="Q47" i="7" s="1"/>
  <c r="K47" i="7"/>
  <c r="L47" i="7" s="1"/>
  <c r="K50" i="7"/>
  <c r="L50" i="7" s="1"/>
  <c r="K29" i="10" l="1"/>
  <c r="K26" i="10"/>
  <c r="E83" i="4" l="1"/>
  <c r="J28" i="10" l="1"/>
  <c r="AS49" i="7"/>
  <c r="AR49" i="7"/>
  <c r="AQ49" i="7"/>
  <c r="AN49" i="7"/>
  <c r="AM49" i="7"/>
  <c r="AL49" i="7"/>
  <c r="AI49" i="7"/>
  <c r="AH49" i="7"/>
  <c r="AG49" i="7"/>
  <c r="AD49" i="7"/>
  <c r="AC49" i="7"/>
  <c r="AB49" i="7"/>
  <c r="Y49" i="7"/>
  <c r="W49" i="7"/>
  <c r="X49" i="7"/>
  <c r="T49" i="7"/>
  <c r="S49" i="7"/>
  <c r="R49" i="7"/>
  <c r="O49" i="7"/>
  <c r="N49" i="7"/>
  <c r="M49" i="7"/>
  <c r="J49" i="7"/>
  <c r="I49" i="7"/>
  <c r="H49" i="7"/>
  <c r="F51" i="7"/>
  <c r="G51" i="7" s="1"/>
  <c r="C49" i="7"/>
  <c r="E49" i="7"/>
  <c r="D49" i="7"/>
  <c r="L28" i="11"/>
  <c r="E68" i="5"/>
  <c r="J28" i="11" s="1"/>
  <c r="AT49" i="7" l="1"/>
  <c r="AU49" i="7" s="1"/>
  <c r="U59" i="7"/>
  <c r="V59" i="7" s="1"/>
  <c r="P59" i="7"/>
  <c r="Q59" i="7" s="1"/>
  <c r="AO59" i="7"/>
  <c r="AP59" i="7" s="1"/>
  <c r="AJ59" i="7"/>
  <c r="AK59" i="7" s="1"/>
  <c r="K59" i="7"/>
  <c r="L59" i="7" s="1"/>
  <c r="Z59" i="7"/>
  <c r="AA59" i="7" s="1"/>
  <c r="AE59" i="7"/>
  <c r="AF59" i="7" s="1"/>
  <c r="AT59" i="7"/>
  <c r="AU59" i="7" s="1"/>
  <c r="P49" i="7"/>
  <c r="Q49" i="7" s="1"/>
  <c r="AJ49" i="7"/>
  <c r="AK49" i="7" s="1"/>
  <c r="U49" i="7"/>
  <c r="V49" i="7" s="1"/>
  <c r="AO49" i="7"/>
  <c r="AP49" i="7" s="1"/>
  <c r="AE49" i="7"/>
  <c r="AF49" i="7" s="1"/>
  <c r="Z49" i="7"/>
  <c r="AA49" i="7" s="1"/>
  <c r="K49" i="7"/>
  <c r="L49" i="7" s="1"/>
  <c r="AQ96" i="7"/>
  <c r="AS96" i="7"/>
  <c r="AR96" i="7"/>
  <c r="AQ106" i="7"/>
  <c r="AS106" i="7"/>
  <c r="AR106" i="7"/>
  <c r="AN96" i="7"/>
  <c r="AC96" i="7"/>
  <c r="AM96" i="7"/>
  <c r="AI96" i="7"/>
  <c r="Y96" i="7"/>
  <c r="R96" i="7"/>
  <c r="O96" i="7"/>
  <c r="H96" i="7"/>
  <c r="AL96" i="7"/>
  <c r="AB96" i="7"/>
  <c r="S96" i="7"/>
  <c r="E96" i="7"/>
  <c r="T96" i="7"/>
  <c r="J96" i="7"/>
  <c r="AD96" i="7"/>
  <c r="C96" i="7"/>
  <c r="N96" i="7"/>
  <c r="I96" i="7"/>
  <c r="AH96" i="7"/>
  <c r="X96" i="7"/>
  <c r="D96" i="7"/>
  <c r="AG96" i="7"/>
  <c r="W96" i="7"/>
  <c r="M96" i="7"/>
  <c r="AM106" i="7"/>
  <c r="AC106" i="7"/>
  <c r="S106" i="7"/>
  <c r="O106" i="7"/>
  <c r="H106" i="7"/>
  <c r="D106" i="7"/>
  <c r="C106" i="7"/>
  <c r="AH106" i="7"/>
  <c r="W106" i="7"/>
  <c r="T106" i="7"/>
  <c r="AN106" i="7"/>
  <c r="AD106" i="7"/>
  <c r="J106" i="7"/>
  <c r="AL106" i="7"/>
  <c r="AG106" i="7"/>
  <c r="AB106" i="7"/>
  <c r="N106" i="7"/>
  <c r="I106" i="7"/>
  <c r="Y106" i="7"/>
  <c r="M106" i="7"/>
  <c r="E106" i="7"/>
  <c r="AI106" i="7"/>
  <c r="R106" i="7"/>
  <c r="X106" i="7"/>
  <c r="E15" i="5"/>
  <c r="M28" i="11" l="1"/>
  <c r="M28" i="10"/>
  <c r="K28" i="10"/>
  <c r="AT106" i="7"/>
  <c r="AU106" i="7" s="1"/>
  <c r="AT96" i="7"/>
  <c r="AU96" i="7" s="1"/>
  <c r="K106" i="7"/>
  <c r="L106" i="7" s="1"/>
  <c r="Z106" i="7"/>
  <c r="AA106" i="7" s="1"/>
  <c r="K96" i="7"/>
  <c r="L96" i="7" s="1"/>
  <c r="F106" i="7"/>
  <c r="G106" i="7" s="1"/>
  <c r="AJ96" i="7"/>
  <c r="AK96" i="7" s="1"/>
  <c r="P96" i="7"/>
  <c r="Q96" i="7" s="1"/>
  <c r="AE96" i="7"/>
  <c r="AF96" i="7" s="1"/>
  <c r="U96" i="7"/>
  <c r="V96" i="7" s="1"/>
  <c r="P106" i="7"/>
  <c r="Q106" i="7" s="1"/>
  <c r="AE106" i="7"/>
  <c r="AF106" i="7" s="1"/>
  <c r="F96" i="7"/>
  <c r="G96" i="7" s="1"/>
  <c r="AJ106" i="7"/>
  <c r="AK106" i="7" s="1"/>
  <c r="AO96" i="7"/>
  <c r="AP96" i="7" s="1"/>
  <c r="U106" i="7"/>
  <c r="V106" i="7" s="1"/>
  <c r="Z96" i="7"/>
  <c r="AA96" i="7" s="1"/>
  <c r="K28" i="11" s="1"/>
  <c r="AO106" i="7"/>
  <c r="AP106" i="7" s="1"/>
  <c r="G30" i="4" l="1"/>
  <c r="F30" i="4"/>
  <c r="E30" i="4"/>
  <c r="E86" i="4" s="1"/>
  <c r="J31" i="10" l="1"/>
  <c r="AS52" i="7"/>
  <c r="AR52" i="7"/>
  <c r="AQ52" i="7"/>
  <c r="AN52" i="7"/>
  <c r="AM52" i="7"/>
  <c r="AL52" i="7"/>
  <c r="AI52" i="7"/>
  <c r="AH52" i="7"/>
  <c r="AG52" i="7"/>
  <c r="AD52" i="7"/>
  <c r="AC52" i="7"/>
  <c r="AB52" i="7"/>
  <c r="X52" i="7"/>
  <c r="Y52" i="7"/>
  <c r="W52" i="7"/>
  <c r="T52" i="7"/>
  <c r="S52" i="7"/>
  <c r="R52" i="7"/>
  <c r="O52" i="7"/>
  <c r="N52" i="7"/>
  <c r="M52" i="7"/>
  <c r="H52" i="7"/>
  <c r="J52" i="7"/>
  <c r="I52" i="7"/>
  <c r="C52" i="7"/>
  <c r="D52" i="7"/>
  <c r="E52" i="7"/>
  <c r="F49" i="7"/>
  <c r="G49" i="7" s="1"/>
  <c r="AO52" i="7" l="1"/>
  <c r="AP52" i="7" s="1"/>
  <c r="P52" i="7"/>
  <c r="Q52" i="7" s="1"/>
  <c r="U52" i="7"/>
  <c r="V52" i="7" s="1"/>
  <c r="Z52" i="7"/>
  <c r="AA52" i="7" s="1"/>
  <c r="AT52" i="7"/>
  <c r="AU52" i="7" s="1"/>
  <c r="AE52" i="7"/>
  <c r="AF52" i="7" s="1"/>
  <c r="AJ52" i="7"/>
  <c r="AK52" i="7" s="1"/>
  <c r="K52" i="7"/>
  <c r="L52" i="7" s="1"/>
  <c r="F52" i="7"/>
  <c r="G52" i="7" s="1"/>
  <c r="F59" i="7"/>
  <c r="G59" i="7" s="1"/>
  <c r="F47" i="7"/>
  <c r="G47" i="7" s="1"/>
  <c r="G52" i="5" l="1"/>
  <c r="G61" i="5" s="1"/>
  <c r="F52" i="5"/>
  <c r="F61" i="5" s="1"/>
  <c r="E52" i="5"/>
  <c r="E61" i="5" s="1"/>
  <c r="G40" i="5"/>
  <c r="G65" i="5" s="1"/>
  <c r="F40" i="5"/>
  <c r="F65" i="5" s="1"/>
  <c r="E40" i="5"/>
  <c r="G33" i="5"/>
  <c r="F33" i="5"/>
  <c r="E33" i="5"/>
  <c r="G15" i="5"/>
  <c r="F15" i="5"/>
  <c r="G7" i="5"/>
  <c r="F7" i="5"/>
  <c r="E7" i="5"/>
  <c r="E49" i="5" l="1"/>
  <c r="G71" i="5"/>
  <c r="E71" i="5"/>
  <c r="F64" i="5"/>
  <c r="F73" i="5"/>
  <c r="L33" i="11" s="1"/>
  <c r="G64" i="5"/>
  <c r="G73" i="5"/>
  <c r="E73" i="5"/>
  <c r="J33" i="11" s="1"/>
  <c r="E72" i="5"/>
  <c r="F69" i="5"/>
  <c r="L29" i="11" s="1"/>
  <c r="F72" i="5"/>
  <c r="G69" i="5"/>
  <c r="G72" i="5"/>
  <c r="E69" i="5"/>
  <c r="J29" i="11" s="1"/>
  <c r="F71" i="5"/>
  <c r="G66" i="5"/>
  <c r="F66" i="5"/>
  <c r="L26" i="11" s="1"/>
  <c r="E66" i="5"/>
  <c r="J26" i="11" s="1"/>
  <c r="E64" i="5"/>
  <c r="J24" i="11" s="1"/>
  <c r="E65" i="5"/>
  <c r="J25" i="11" s="1"/>
  <c r="L24" i="11"/>
  <c r="L25" i="11"/>
  <c r="E23" i="5"/>
  <c r="G49" i="5"/>
  <c r="F49" i="5"/>
  <c r="F23" i="5"/>
  <c r="G23" i="5"/>
  <c r="G67" i="5" s="1"/>
  <c r="W100" i="7" l="1"/>
  <c r="AR100" i="7"/>
  <c r="AD100" i="7"/>
  <c r="J100" i="7"/>
  <c r="I100" i="7"/>
  <c r="H100" i="7"/>
  <c r="O100" i="7"/>
  <c r="S100" i="7"/>
  <c r="Y100" i="7"/>
  <c r="AQ100" i="7"/>
  <c r="AC100" i="7"/>
  <c r="AB100" i="7"/>
  <c r="N100" i="7"/>
  <c r="AI100" i="7"/>
  <c r="AH100" i="7"/>
  <c r="AG100" i="7"/>
  <c r="M100" i="7"/>
  <c r="R100" i="7"/>
  <c r="AN100" i="7"/>
  <c r="T100" i="7"/>
  <c r="AM100" i="7"/>
  <c r="AL100" i="7"/>
  <c r="D100" i="7"/>
  <c r="E100" i="7"/>
  <c r="AS100" i="7"/>
  <c r="X100" i="7"/>
  <c r="C100" i="7"/>
  <c r="L32" i="11"/>
  <c r="L31" i="11"/>
  <c r="AN109" i="7"/>
  <c r="T109" i="7"/>
  <c r="M109" i="7"/>
  <c r="AM109" i="7"/>
  <c r="S109" i="7"/>
  <c r="E109" i="7"/>
  <c r="X109" i="7"/>
  <c r="N109" i="7"/>
  <c r="AG109" i="7"/>
  <c r="AL109" i="7"/>
  <c r="R109" i="7"/>
  <c r="D109" i="7"/>
  <c r="AI109" i="7"/>
  <c r="AS109" i="7"/>
  <c r="Y109" i="7"/>
  <c r="AR109" i="7"/>
  <c r="AQ109" i="7"/>
  <c r="W109" i="7"/>
  <c r="AD109" i="7"/>
  <c r="J109" i="7"/>
  <c r="AC109" i="7"/>
  <c r="I109" i="7"/>
  <c r="C109" i="7"/>
  <c r="AB109" i="7"/>
  <c r="H109" i="7"/>
  <c r="O109" i="7"/>
  <c r="AH109" i="7"/>
  <c r="J32" i="11"/>
  <c r="AS99" i="7"/>
  <c r="AL99" i="7"/>
  <c r="R99" i="7"/>
  <c r="D99" i="7"/>
  <c r="S99" i="7"/>
  <c r="AR99" i="7"/>
  <c r="Y99" i="7"/>
  <c r="E99" i="7"/>
  <c r="W99" i="7"/>
  <c r="AD99" i="7"/>
  <c r="AC99" i="7"/>
  <c r="AB99" i="7"/>
  <c r="H99" i="7"/>
  <c r="AG99" i="7"/>
  <c r="AQ99" i="7"/>
  <c r="X99" i="7"/>
  <c r="J99" i="7"/>
  <c r="I99" i="7"/>
  <c r="T99" i="7"/>
  <c r="AI99" i="7"/>
  <c r="O99" i="7"/>
  <c r="AH99" i="7"/>
  <c r="N99" i="7"/>
  <c r="M99" i="7"/>
  <c r="AN99" i="7"/>
  <c r="AM99" i="7"/>
  <c r="C99" i="7"/>
  <c r="J31" i="11"/>
  <c r="X104" i="7"/>
  <c r="AC104" i="7"/>
  <c r="J104" i="7"/>
  <c r="AM104" i="7"/>
  <c r="O104" i="7"/>
  <c r="N104" i="7"/>
  <c r="AB104" i="7"/>
  <c r="R104" i="7"/>
  <c r="T104" i="7"/>
  <c r="C94" i="7"/>
  <c r="AM94" i="7"/>
  <c r="W104" i="7"/>
  <c r="C104" i="7"/>
  <c r="AQ104" i="7"/>
  <c r="AR104" i="7"/>
  <c r="Y104" i="7"/>
  <c r="AD104" i="7"/>
  <c r="E104" i="7"/>
  <c r="AQ94" i="7"/>
  <c r="AH104" i="7"/>
  <c r="AN104" i="7"/>
  <c r="M94" i="7"/>
  <c r="AR94" i="7"/>
  <c r="AD94" i="7"/>
  <c r="AL94" i="7"/>
  <c r="AS104" i="7"/>
  <c r="H104" i="7"/>
  <c r="I104" i="7"/>
  <c r="AL104" i="7"/>
  <c r="AI104" i="7"/>
  <c r="S104" i="7"/>
  <c r="M104" i="7"/>
  <c r="AG104" i="7"/>
  <c r="D104" i="7"/>
  <c r="J94" i="7"/>
  <c r="X94" i="7"/>
  <c r="I94" i="7"/>
  <c r="AN94" i="7"/>
  <c r="E94" i="7"/>
  <c r="Y94" i="7"/>
  <c r="AI94" i="7"/>
  <c r="AB94" i="7"/>
  <c r="AS94" i="7"/>
  <c r="W94" i="7"/>
  <c r="AG94" i="7"/>
  <c r="D94" i="7"/>
  <c r="N94" i="7"/>
  <c r="O94" i="7"/>
  <c r="AH94" i="7"/>
  <c r="F67" i="5"/>
  <c r="AN105" i="7" s="1"/>
  <c r="AC94" i="7"/>
  <c r="R94" i="7"/>
  <c r="E67" i="5"/>
  <c r="J27" i="11" s="1"/>
  <c r="H94" i="7"/>
  <c r="T94" i="7"/>
  <c r="S94" i="7"/>
  <c r="AQ107" i="7"/>
  <c r="AS107" i="7"/>
  <c r="AR107" i="7"/>
  <c r="AS103" i="7"/>
  <c r="AR103" i="7"/>
  <c r="AQ103" i="7"/>
  <c r="AR102" i="7"/>
  <c r="AQ102" i="7"/>
  <c r="AS102" i="7"/>
  <c r="AS93" i="7"/>
  <c r="AR93" i="7"/>
  <c r="AQ93" i="7"/>
  <c r="AS92" i="7"/>
  <c r="AR92" i="7"/>
  <c r="AQ92" i="7"/>
  <c r="AQ97" i="7"/>
  <c r="AS97" i="7"/>
  <c r="AR97" i="7"/>
  <c r="AM102" i="7"/>
  <c r="AC102" i="7"/>
  <c r="R102" i="7"/>
  <c r="O102" i="7"/>
  <c r="D102" i="7"/>
  <c r="AL102" i="7"/>
  <c r="AI102" i="7"/>
  <c r="X102" i="7"/>
  <c r="T102" i="7"/>
  <c r="I102" i="7"/>
  <c r="C102" i="7"/>
  <c r="AB102" i="7"/>
  <c r="E102" i="7"/>
  <c r="AH102" i="7"/>
  <c r="AD102" i="7"/>
  <c r="W102" i="7"/>
  <c r="AN102" i="7"/>
  <c r="N102" i="7"/>
  <c r="H102" i="7"/>
  <c r="Y102" i="7"/>
  <c r="M102" i="7"/>
  <c r="J102" i="7"/>
  <c r="S102" i="7"/>
  <c r="AG102" i="7"/>
  <c r="AL92" i="7"/>
  <c r="AN92" i="7"/>
  <c r="AC92" i="7"/>
  <c r="AB92" i="7"/>
  <c r="Y92" i="7"/>
  <c r="R92" i="7"/>
  <c r="O92" i="7"/>
  <c r="H92" i="7"/>
  <c r="C92" i="7"/>
  <c r="AH92" i="7"/>
  <c r="W92" i="7"/>
  <c r="T92" i="7"/>
  <c r="I92" i="7"/>
  <c r="AM92" i="7"/>
  <c r="AG92" i="7"/>
  <c r="D92" i="7"/>
  <c r="AD92" i="7"/>
  <c r="J92" i="7"/>
  <c r="X92" i="7"/>
  <c r="S92" i="7"/>
  <c r="M92" i="7"/>
  <c r="E92" i="7"/>
  <c r="AI92" i="7"/>
  <c r="N92" i="7"/>
  <c r="AN103" i="7"/>
  <c r="AG103" i="7"/>
  <c r="AD103" i="7"/>
  <c r="W103" i="7"/>
  <c r="S103" i="7"/>
  <c r="I103" i="7"/>
  <c r="AC103" i="7"/>
  <c r="N103" i="7"/>
  <c r="AH103" i="7"/>
  <c r="X103" i="7"/>
  <c r="M103" i="7"/>
  <c r="C103" i="7"/>
  <c r="AL103" i="7"/>
  <c r="J103" i="7"/>
  <c r="E103" i="7"/>
  <c r="Y103" i="7"/>
  <c r="AI103" i="7"/>
  <c r="T103" i="7"/>
  <c r="H103" i="7"/>
  <c r="R103" i="7"/>
  <c r="AM103" i="7"/>
  <c r="AB103" i="7"/>
  <c r="O103" i="7"/>
  <c r="D103" i="7"/>
  <c r="AN107" i="7"/>
  <c r="AG107" i="7"/>
  <c r="AD107" i="7"/>
  <c r="W107" i="7"/>
  <c r="T107" i="7"/>
  <c r="I107" i="7"/>
  <c r="AM107" i="7"/>
  <c r="AB107" i="7"/>
  <c r="Y107" i="7"/>
  <c r="M107" i="7"/>
  <c r="J107" i="7"/>
  <c r="D107" i="7"/>
  <c r="AI107" i="7"/>
  <c r="R107" i="7"/>
  <c r="O107" i="7"/>
  <c r="N107" i="7"/>
  <c r="H107" i="7"/>
  <c r="AL107" i="7"/>
  <c r="X107" i="7"/>
  <c r="S107" i="7"/>
  <c r="AH107" i="7"/>
  <c r="AC107" i="7"/>
  <c r="E107" i="7"/>
  <c r="AG93" i="7"/>
  <c r="AD93" i="7"/>
  <c r="AL93" i="7"/>
  <c r="AH93" i="7"/>
  <c r="S93" i="7"/>
  <c r="I93" i="7"/>
  <c r="E93" i="7"/>
  <c r="AN93" i="7"/>
  <c r="AC93" i="7"/>
  <c r="Y93" i="7"/>
  <c r="N93" i="7"/>
  <c r="C93" i="7"/>
  <c r="W93" i="7"/>
  <c r="M93" i="7"/>
  <c r="AM93" i="7"/>
  <c r="J93" i="7"/>
  <c r="D93" i="7"/>
  <c r="AI93" i="7"/>
  <c r="T93" i="7"/>
  <c r="O93" i="7"/>
  <c r="H93" i="7"/>
  <c r="R93" i="7"/>
  <c r="AB93" i="7"/>
  <c r="X93" i="7"/>
  <c r="AG97" i="7"/>
  <c r="AD97" i="7"/>
  <c r="AC97" i="7"/>
  <c r="S97" i="7"/>
  <c r="I97" i="7"/>
  <c r="E97" i="7"/>
  <c r="AH97" i="7"/>
  <c r="X97" i="7"/>
  <c r="M97" i="7"/>
  <c r="J97" i="7"/>
  <c r="Y97" i="7"/>
  <c r="O97" i="7"/>
  <c r="AM97" i="7"/>
  <c r="T97" i="7"/>
  <c r="N97" i="7"/>
  <c r="H97" i="7"/>
  <c r="AL97" i="7"/>
  <c r="AI97" i="7"/>
  <c r="W97" i="7"/>
  <c r="R97" i="7"/>
  <c r="AN97" i="7"/>
  <c r="AB97" i="7"/>
  <c r="D97" i="7"/>
  <c r="C107" i="7"/>
  <c r="C97" i="7"/>
  <c r="E50" i="5"/>
  <c r="G50" i="5"/>
  <c r="F50" i="5"/>
  <c r="P99" i="7" l="1"/>
  <c r="Q99" i="7" s="1"/>
  <c r="K109" i="7"/>
  <c r="L109" i="7" s="1"/>
  <c r="AT100" i="7"/>
  <c r="AU100" i="7" s="1"/>
  <c r="AJ100" i="7"/>
  <c r="AK100" i="7" s="1"/>
  <c r="AE99" i="7"/>
  <c r="AF99" i="7" s="1"/>
  <c r="Z99" i="7"/>
  <c r="AA99" i="7" s="1"/>
  <c r="K31" i="11" s="1"/>
  <c r="K100" i="7"/>
  <c r="L100" i="7" s="1"/>
  <c r="P109" i="7"/>
  <c r="Q109" i="7" s="1"/>
  <c r="AE109" i="7"/>
  <c r="AF109" i="7" s="1"/>
  <c r="F109" i="7"/>
  <c r="G109" i="7" s="1"/>
  <c r="AE100" i="7"/>
  <c r="AF100" i="7" s="1"/>
  <c r="AO100" i="7"/>
  <c r="AP100" i="7" s="1"/>
  <c r="U109" i="7"/>
  <c r="V109" i="7" s="1"/>
  <c r="AO109" i="7"/>
  <c r="AP109" i="7" s="1"/>
  <c r="U100" i="7"/>
  <c r="V100" i="7" s="1"/>
  <c r="AJ109" i="7"/>
  <c r="AK109" i="7" s="1"/>
  <c r="P100" i="7"/>
  <c r="Q100" i="7" s="1"/>
  <c r="F99" i="7"/>
  <c r="G99" i="7" s="1"/>
  <c r="AT99" i="7"/>
  <c r="AU99" i="7" s="1"/>
  <c r="U99" i="7"/>
  <c r="V99" i="7" s="1"/>
  <c r="F100" i="7"/>
  <c r="G100" i="7" s="1"/>
  <c r="AJ99" i="7"/>
  <c r="AK99" i="7" s="1"/>
  <c r="AO99" i="7"/>
  <c r="AP99" i="7" s="1"/>
  <c r="Z109" i="7"/>
  <c r="AA109" i="7" s="1"/>
  <c r="K99" i="7"/>
  <c r="L99" i="7" s="1"/>
  <c r="AT109" i="7"/>
  <c r="AU109" i="7" s="1"/>
  <c r="Z100" i="7"/>
  <c r="AA100" i="7" s="1"/>
  <c r="K32" i="11" s="1"/>
  <c r="Z104" i="7"/>
  <c r="AA104" i="7" s="1"/>
  <c r="AO94" i="7"/>
  <c r="AP94" i="7" s="1"/>
  <c r="AE104" i="7"/>
  <c r="AF104" i="7" s="1"/>
  <c r="K104" i="7"/>
  <c r="L104" i="7" s="1"/>
  <c r="AO104" i="7"/>
  <c r="AP104" i="7" s="1"/>
  <c r="P104" i="7"/>
  <c r="Q104" i="7" s="1"/>
  <c r="AT94" i="7"/>
  <c r="AU94" i="7" s="1"/>
  <c r="U104" i="7"/>
  <c r="V104" i="7" s="1"/>
  <c r="AT104" i="7"/>
  <c r="AU104" i="7" s="1"/>
  <c r="F104" i="7"/>
  <c r="G104" i="7" s="1"/>
  <c r="AJ104" i="7"/>
  <c r="AK104" i="7" s="1"/>
  <c r="AS105" i="7"/>
  <c r="F94" i="7"/>
  <c r="G94" i="7" s="1"/>
  <c r="Z94" i="7"/>
  <c r="AA94" i="7" s="1"/>
  <c r="K26" i="11" s="1"/>
  <c r="K94" i="7"/>
  <c r="L94" i="7" s="1"/>
  <c r="P94" i="7"/>
  <c r="Q94" i="7" s="1"/>
  <c r="AJ94" i="7"/>
  <c r="AK94" i="7" s="1"/>
  <c r="AE94" i="7"/>
  <c r="AF94" i="7" s="1"/>
  <c r="AQ105" i="7"/>
  <c r="C105" i="7"/>
  <c r="I105" i="7"/>
  <c r="AG105" i="7"/>
  <c r="AM105" i="7"/>
  <c r="AH95" i="7"/>
  <c r="AN95" i="7"/>
  <c r="H105" i="7"/>
  <c r="H95" i="7"/>
  <c r="R105" i="7"/>
  <c r="W105" i="7"/>
  <c r="AD105" i="7"/>
  <c r="AR105" i="7"/>
  <c r="E105" i="7"/>
  <c r="O105" i="7"/>
  <c r="X105" i="7"/>
  <c r="J95" i="7"/>
  <c r="AH105" i="7"/>
  <c r="J105" i="7"/>
  <c r="M105" i="7"/>
  <c r="D105" i="7"/>
  <c r="AC105" i="7"/>
  <c r="N105" i="7"/>
  <c r="Y105" i="7"/>
  <c r="AB105" i="7"/>
  <c r="AI105" i="7"/>
  <c r="AL105" i="7"/>
  <c r="U94" i="7"/>
  <c r="V94" i="7" s="1"/>
  <c r="S95" i="7"/>
  <c r="I95" i="7"/>
  <c r="Y95" i="7"/>
  <c r="AS95" i="7"/>
  <c r="AC95" i="7"/>
  <c r="E95" i="7"/>
  <c r="X95" i="7"/>
  <c r="M95" i="7"/>
  <c r="R95" i="7"/>
  <c r="AD95" i="7"/>
  <c r="C95" i="7"/>
  <c r="AG95" i="7"/>
  <c r="D95" i="7"/>
  <c r="AB95" i="7"/>
  <c r="T105" i="7"/>
  <c r="O95" i="7"/>
  <c r="AI95" i="7"/>
  <c r="T95" i="7"/>
  <c r="W95" i="7"/>
  <c r="AM95" i="7"/>
  <c r="AQ95" i="7"/>
  <c r="AR95" i="7"/>
  <c r="L27" i="11"/>
  <c r="AL95" i="7"/>
  <c r="N95" i="7"/>
  <c r="S105" i="7"/>
  <c r="AT92" i="7"/>
  <c r="AU92" i="7" s="1"/>
  <c r="AT93" i="7"/>
  <c r="AU93" i="7" s="1"/>
  <c r="AT103" i="7"/>
  <c r="AU103" i="7" s="1"/>
  <c r="AT97" i="7"/>
  <c r="AU97" i="7" s="1"/>
  <c r="AT102" i="7"/>
  <c r="AU102" i="7" s="1"/>
  <c r="AT107" i="7"/>
  <c r="AU107" i="7" s="1"/>
  <c r="F103" i="7"/>
  <c r="G103" i="7" s="1"/>
  <c r="K103" i="7"/>
  <c r="L103" i="7" s="1"/>
  <c r="AE103" i="7"/>
  <c r="AF103" i="7" s="1"/>
  <c r="K102" i="7"/>
  <c r="L102" i="7" s="1"/>
  <c r="AE102" i="7"/>
  <c r="AF102" i="7" s="1"/>
  <c r="U103" i="7"/>
  <c r="V103" i="7" s="1"/>
  <c r="AO103" i="7"/>
  <c r="AP103" i="7" s="1"/>
  <c r="Z107" i="7"/>
  <c r="AA107" i="7" s="1"/>
  <c r="F107" i="7"/>
  <c r="G107" i="7" s="1"/>
  <c r="U102" i="7"/>
  <c r="V102" i="7" s="1"/>
  <c r="AO102" i="7"/>
  <c r="AP102" i="7" s="1"/>
  <c r="AO93" i="7"/>
  <c r="AP93" i="7" s="1"/>
  <c r="U92" i="7"/>
  <c r="V92" i="7" s="1"/>
  <c r="K107" i="7"/>
  <c r="L107" i="7" s="1"/>
  <c r="AE107" i="7"/>
  <c r="AF107" i="7" s="1"/>
  <c r="Z102" i="7"/>
  <c r="AA102" i="7" s="1"/>
  <c r="P103" i="7"/>
  <c r="Q103" i="7" s="1"/>
  <c r="AJ103" i="7"/>
  <c r="AK103" i="7" s="1"/>
  <c r="P107" i="7"/>
  <c r="Q107" i="7" s="1"/>
  <c r="AJ107" i="7"/>
  <c r="AK107" i="7" s="1"/>
  <c r="U107" i="7"/>
  <c r="V107" i="7" s="1"/>
  <c r="AO107" i="7"/>
  <c r="AP107" i="7" s="1"/>
  <c r="F102" i="7"/>
  <c r="G102" i="7" s="1"/>
  <c r="P102" i="7"/>
  <c r="Q102" i="7" s="1"/>
  <c r="AJ102" i="7"/>
  <c r="AK102" i="7" s="1"/>
  <c r="Z103" i="7"/>
  <c r="AA103" i="7" s="1"/>
  <c r="F97" i="7"/>
  <c r="G97" i="7" s="1"/>
  <c r="AO97" i="7"/>
  <c r="AP97" i="7" s="1"/>
  <c r="AE97" i="7"/>
  <c r="AF97" i="7" s="1"/>
  <c r="AJ93" i="7"/>
  <c r="AK93" i="7" s="1"/>
  <c r="AE92" i="7"/>
  <c r="AF92" i="7" s="1"/>
  <c r="K92" i="7"/>
  <c r="L92" i="7" s="1"/>
  <c r="AJ97" i="7"/>
  <c r="AK97" i="7" s="1"/>
  <c r="P97" i="7"/>
  <c r="Q97" i="7" s="1"/>
  <c r="U93" i="7"/>
  <c r="V93" i="7" s="1"/>
  <c r="P93" i="7"/>
  <c r="Q93" i="7" s="1"/>
  <c r="K93" i="7"/>
  <c r="L93" i="7" s="1"/>
  <c r="Z92" i="7"/>
  <c r="AA92" i="7" s="1"/>
  <c r="K24" i="11" s="1"/>
  <c r="K97" i="7"/>
  <c r="L97" i="7" s="1"/>
  <c r="Z97" i="7"/>
  <c r="AA97" i="7" s="1"/>
  <c r="K29" i="11" s="1"/>
  <c r="F92" i="7"/>
  <c r="G92" i="7" s="1"/>
  <c r="F93" i="7"/>
  <c r="G93" i="7" s="1"/>
  <c r="Z93" i="7"/>
  <c r="AA93" i="7" s="1"/>
  <c r="K25" i="11" s="1"/>
  <c r="AE93" i="7"/>
  <c r="AF93" i="7" s="1"/>
  <c r="AO92" i="7"/>
  <c r="AP92" i="7" s="1"/>
  <c r="P92" i="7"/>
  <c r="Q92" i="7" s="1"/>
  <c r="AJ92" i="7"/>
  <c r="AK92" i="7" s="1"/>
  <c r="U97" i="7"/>
  <c r="V97" i="7" s="1"/>
  <c r="G54" i="4"/>
  <c r="G72" i="4" s="1"/>
  <c r="F54" i="4"/>
  <c r="F72" i="4" s="1"/>
  <c r="F84" i="4" s="1"/>
  <c r="AT105" i="7" l="1"/>
  <c r="AU105" i="7" s="1"/>
  <c r="AO105" i="7"/>
  <c r="AP105" i="7" s="1"/>
  <c r="K105" i="7"/>
  <c r="L105" i="7" s="1"/>
  <c r="F105" i="7"/>
  <c r="G105" i="7" s="1"/>
  <c r="P105" i="7"/>
  <c r="Q105" i="7" s="1"/>
  <c r="Z105" i="7"/>
  <c r="AA105" i="7" s="1"/>
  <c r="K95" i="7"/>
  <c r="L95" i="7" s="1"/>
  <c r="U105" i="7"/>
  <c r="V105" i="7" s="1"/>
  <c r="AE105" i="7"/>
  <c r="AF105" i="7" s="1"/>
  <c r="U95" i="7"/>
  <c r="V95" i="7" s="1"/>
  <c r="AJ105" i="7"/>
  <c r="AK105" i="7" s="1"/>
  <c r="AJ95" i="7"/>
  <c r="AK95" i="7" s="1"/>
  <c r="AO95" i="7"/>
  <c r="AP95" i="7" s="1"/>
  <c r="Z95" i="7"/>
  <c r="AA95" i="7" s="1"/>
  <c r="K27" i="11" s="1"/>
  <c r="F95" i="7"/>
  <c r="G95" i="7" s="1"/>
  <c r="AE95" i="7"/>
  <c r="AF95" i="7" s="1"/>
  <c r="AT95" i="7"/>
  <c r="AU95" i="7" s="1"/>
  <c r="P95" i="7"/>
  <c r="Q95" i="7" s="1"/>
  <c r="L29" i="10"/>
  <c r="AR60" i="7"/>
  <c r="AQ60" i="7"/>
  <c r="AS60" i="7"/>
  <c r="AN60" i="7"/>
  <c r="AM60" i="7"/>
  <c r="AL60" i="7"/>
  <c r="AI60" i="7"/>
  <c r="AH60" i="7"/>
  <c r="AG60" i="7"/>
  <c r="AB60" i="7"/>
  <c r="AD60" i="7"/>
  <c r="AC60" i="7"/>
  <c r="Y60" i="7"/>
  <c r="X60" i="7"/>
  <c r="W60" i="7"/>
  <c r="T60" i="7"/>
  <c r="S60" i="7"/>
  <c r="R60" i="7"/>
  <c r="O60" i="7"/>
  <c r="N60" i="7"/>
  <c r="M60" i="7"/>
  <c r="J60" i="7"/>
  <c r="I60" i="7"/>
  <c r="H60" i="7"/>
  <c r="E60" i="7"/>
  <c r="G81" i="4"/>
  <c r="G84" i="4"/>
  <c r="F81" i="4"/>
  <c r="G75" i="4"/>
  <c r="F75" i="4"/>
  <c r="E75" i="4"/>
  <c r="G44" i="4"/>
  <c r="G80" i="4" s="1"/>
  <c r="F44" i="4"/>
  <c r="L81" i="11" s="1"/>
  <c r="E44" i="4"/>
  <c r="J81" i="11" s="1"/>
  <c r="J82" i="11" s="1"/>
  <c r="G37" i="4"/>
  <c r="G87" i="4" s="1"/>
  <c r="F37" i="4"/>
  <c r="E37" i="4"/>
  <c r="G19" i="4"/>
  <c r="F19" i="4"/>
  <c r="L80" i="11" s="1"/>
  <c r="G7" i="4"/>
  <c r="E87" i="4" l="1"/>
  <c r="J32" i="10" s="1"/>
  <c r="L82" i="11"/>
  <c r="L83" i="10"/>
  <c r="L26" i="10"/>
  <c r="F80" i="4"/>
  <c r="AQ56" i="7" s="1"/>
  <c r="L84" i="10"/>
  <c r="E79" i="4"/>
  <c r="J84" i="10"/>
  <c r="J85" i="10" s="1"/>
  <c r="AQ57" i="7"/>
  <c r="AS57" i="7"/>
  <c r="AR57" i="7"/>
  <c r="AN57" i="7"/>
  <c r="AL57" i="7"/>
  <c r="AM57" i="7"/>
  <c r="AI57" i="7"/>
  <c r="AH57" i="7"/>
  <c r="AG57" i="7"/>
  <c r="AC57" i="7"/>
  <c r="AB57" i="7"/>
  <c r="AD57" i="7"/>
  <c r="Y57" i="7"/>
  <c r="X57" i="7"/>
  <c r="W57" i="7"/>
  <c r="S57" i="7"/>
  <c r="R57" i="7"/>
  <c r="T57" i="7"/>
  <c r="E76" i="4"/>
  <c r="J78" i="11" s="1"/>
  <c r="J79" i="11" s="1"/>
  <c r="O57" i="7"/>
  <c r="N57" i="7"/>
  <c r="M57" i="7"/>
  <c r="E57" i="7"/>
  <c r="I57" i="7"/>
  <c r="J57" i="7"/>
  <c r="H57" i="7"/>
  <c r="C60" i="7"/>
  <c r="D60" i="7"/>
  <c r="D57" i="7"/>
  <c r="C57" i="7"/>
  <c r="E88" i="4"/>
  <c r="K33" i="11" s="1"/>
  <c r="G86" i="4"/>
  <c r="F88" i="4"/>
  <c r="M33" i="11" s="1"/>
  <c r="F87" i="4"/>
  <c r="G88" i="4"/>
  <c r="F79" i="4"/>
  <c r="F86" i="4"/>
  <c r="G79" i="4"/>
  <c r="E80" i="4"/>
  <c r="F76" i="4"/>
  <c r="L78" i="11" s="1"/>
  <c r="L79" i="11" s="1"/>
  <c r="G76" i="4"/>
  <c r="G28" i="4"/>
  <c r="E28" i="4"/>
  <c r="F28" i="4"/>
  <c r="E51" i="4"/>
  <c r="F51" i="4"/>
  <c r="F82" i="4" s="1"/>
  <c r="G51" i="4"/>
  <c r="G82" i="4" s="1"/>
  <c r="M56" i="7" l="1"/>
  <c r="AS56" i="7"/>
  <c r="AI56" i="7"/>
  <c r="L85" i="10"/>
  <c r="R56" i="7"/>
  <c r="L84" i="11"/>
  <c r="L83" i="11"/>
  <c r="J84" i="11"/>
  <c r="J83" i="11"/>
  <c r="S56" i="7"/>
  <c r="I56" i="7"/>
  <c r="D56" i="7"/>
  <c r="C56" i="7"/>
  <c r="W56" i="7"/>
  <c r="Y56" i="7"/>
  <c r="O56" i="7"/>
  <c r="AD56" i="7"/>
  <c r="AB56" i="7"/>
  <c r="AM56" i="7"/>
  <c r="AC56" i="7"/>
  <c r="AN56" i="7"/>
  <c r="H56" i="7"/>
  <c r="J56" i="7"/>
  <c r="E56" i="7"/>
  <c r="L24" i="10"/>
  <c r="J24" i="10"/>
  <c r="K31" i="10" s="1"/>
  <c r="L32" i="10"/>
  <c r="L25" i="10"/>
  <c r="J81" i="10"/>
  <c r="J82" i="10" s="1"/>
  <c r="J87" i="10" s="1"/>
  <c r="T56" i="7"/>
  <c r="L27" i="10"/>
  <c r="AG56" i="7"/>
  <c r="L81" i="10"/>
  <c r="L82" i="10" s="1"/>
  <c r="L87" i="10" s="1"/>
  <c r="J25" i="10"/>
  <c r="X56" i="7"/>
  <c r="AH56" i="7"/>
  <c r="L31" i="10"/>
  <c r="N56" i="7"/>
  <c r="AR56" i="7"/>
  <c r="AL56" i="7"/>
  <c r="L33" i="10"/>
  <c r="M33" i="10" s="1"/>
  <c r="J33" i="10"/>
  <c r="K33" i="10" s="1"/>
  <c r="AS55" i="7"/>
  <c r="AR55" i="7"/>
  <c r="AQ55" i="7"/>
  <c r="AS58" i="7"/>
  <c r="AR58" i="7"/>
  <c r="AQ58" i="7"/>
  <c r="AS63" i="7"/>
  <c r="AR63" i="7"/>
  <c r="AQ63" i="7"/>
  <c r="AS62" i="7"/>
  <c r="AR62" i="7"/>
  <c r="AQ62" i="7"/>
  <c r="AN62" i="7"/>
  <c r="AM62" i="7"/>
  <c r="AL62" i="7"/>
  <c r="AM55" i="7"/>
  <c r="AN55" i="7"/>
  <c r="AL55" i="7"/>
  <c r="AL58" i="7"/>
  <c r="AM58" i="7"/>
  <c r="AN58" i="7"/>
  <c r="AN63" i="7"/>
  <c r="AM63" i="7"/>
  <c r="AL63" i="7"/>
  <c r="AI62" i="7"/>
  <c r="AH62" i="7"/>
  <c r="AG62" i="7"/>
  <c r="AI55" i="7"/>
  <c r="AH55" i="7"/>
  <c r="AG55" i="7"/>
  <c r="AI63" i="7"/>
  <c r="AH63" i="7"/>
  <c r="AG63" i="7"/>
  <c r="AI58" i="7"/>
  <c r="AG58" i="7"/>
  <c r="AH58" i="7"/>
  <c r="AD55" i="7"/>
  <c r="AC55" i="7"/>
  <c r="AB55" i="7"/>
  <c r="AD62" i="7"/>
  <c r="AC62" i="7"/>
  <c r="AB62" i="7"/>
  <c r="AD63" i="7"/>
  <c r="AC63" i="7"/>
  <c r="AB63" i="7"/>
  <c r="AD58" i="7"/>
  <c r="AC58" i="7"/>
  <c r="AB58" i="7"/>
  <c r="Y55" i="7"/>
  <c r="X55" i="7"/>
  <c r="W55" i="7"/>
  <c r="Y63" i="7"/>
  <c r="X63" i="7"/>
  <c r="W63" i="7"/>
  <c r="X58" i="7"/>
  <c r="W58" i="7"/>
  <c r="Y58" i="7"/>
  <c r="Y62" i="7"/>
  <c r="X62" i="7"/>
  <c r="W62" i="7"/>
  <c r="T62" i="7"/>
  <c r="S62" i="7"/>
  <c r="R62" i="7"/>
  <c r="S58" i="7"/>
  <c r="R58" i="7"/>
  <c r="T58" i="7"/>
  <c r="T55" i="7"/>
  <c r="S55" i="7"/>
  <c r="R55" i="7"/>
  <c r="T63" i="7"/>
  <c r="S63" i="7"/>
  <c r="R63" i="7"/>
  <c r="AO57" i="7"/>
  <c r="AP57" i="7" s="1"/>
  <c r="O62" i="7"/>
  <c r="N62" i="7"/>
  <c r="M62" i="7"/>
  <c r="M58" i="7"/>
  <c r="O58" i="7"/>
  <c r="N58" i="7"/>
  <c r="O55" i="7"/>
  <c r="N55" i="7"/>
  <c r="M55" i="7"/>
  <c r="O63" i="7"/>
  <c r="N63" i="7"/>
  <c r="M63" i="7"/>
  <c r="E63" i="7"/>
  <c r="J63" i="7"/>
  <c r="I63" i="7"/>
  <c r="H63" i="7"/>
  <c r="E62" i="7"/>
  <c r="J62" i="7"/>
  <c r="I62" i="7"/>
  <c r="H62" i="7"/>
  <c r="E58" i="7"/>
  <c r="J58" i="7"/>
  <c r="I58" i="7"/>
  <c r="H58" i="7"/>
  <c r="E55" i="7"/>
  <c r="J55" i="7"/>
  <c r="H55" i="7"/>
  <c r="I55" i="7"/>
  <c r="AE60" i="7"/>
  <c r="AF60" i="7" s="1"/>
  <c r="AE57" i="7"/>
  <c r="AF57" i="7" s="1"/>
  <c r="AO60" i="7"/>
  <c r="AP60" i="7" s="1"/>
  <c r="AJ60" i="7"/>
  <c r="AK60" i="7" s="1"/>
  <c r="AJ57" i="7"/>
  <c r="AK57" i="7" s="1"/>
  <c r="Z60" i="7"/>
  <c r="AA60" i="7" s="1"/>
  <c r="Z57" i="7"/>
  <c r="AA57" i="7" s="1"/>
  <c r="U57" i="7"/>
  <c r="V57" i="7" s="1"/>
  <c r="U60" i="7"/>
  <c r="V60" i="7" s="1"/>
  <c r="P57" i="7"/>
  <c r="Q57" i="7" s="1"/>
  <c r="P60" i="7"/>
  <c r="Q60" i="7" s="1"/>
  <c r="K57" i="7"/>
  <c r="L57" i="7" s="1"/>
  <c r="K60" i="7"/>
  <c r="L60" i="7" s="1"/>
  <c r="D62" i="7"/>
  <c r="C62" i="7"/>
  <c r="D58" i="7"/>
  <c r="C58" i="7"/>
  <c r="D55" i="7"/>
  <c r="C55" i="7"/>
  <c r="D63" i="7"/>
  <c r="C63" i="7"/>
  <c r="AR46" i="7"/>
  <c r="AQ46" i="7"/>
  <c r="AS46" i="7"/>
  <c r="AS45" i="7"/>
  <c r="AR45" i="7"/>
  <c r="AQ45" i="7"/>
  <c r="AS53" i="7"/>
  <c r="AS110" i="7" s="1"/>
  <c r="AR53" i="7"/>
  <c r="AR110" i="7" s="1"/>
  <c r="AQ53" i="7"/>
  <c r="AQ110" i="7" s="1"/>
  <c r="AN46" i="7"/>
  <c r="AM46" i="7"/>
  <c r="AL46" i="7"/>
  <c r="AN53" i="7"/>
  <c r="AN110" i="7" s="1"/>
  <c r="AM53" i="7"/>
  <c r="AM110" i="7" s="1"/>
  <c r="AL53" i="7"/>
  <c r="AL110" i="7" s="1"/>
  <c r="AN45" i="7"/>
  <c r="AM45" i="7"/>
  <c r="AL45" i="7"/>
  <c r="AI45" i="7"/>
  <c r="AH45" i="7"/>
  <c r="AG45" i="7"/>
  <c r="AI53" i="7"/>
  <c r="AI110" i="7" s="1"/>
  <c r="AH53" i="7"/>
  <c r="AH110" i="7" s="1"/>
  <c r="AG53" i="7"/>
  <c r="AG110" i="7" s="1"/>
  <c r="AI46" i="7"/>
  <c r="AH46" i="7"/>
  <c r="AG46" i="7"/>
  <c r="AD45" i="7"/>
  <c r="AC45" i="7"/>
  <c r="AB45" i="7"/>
  <c r="AD53" i="7"/>
  <c r="AD110" i="7" s="1"/>
  <c r="AC53" i="7"/>
  <c r="AC110" i="7" s="1"/>
  <c r="AB53" i="7"/>
  <c r="AB110" i="7" s="1"/>
  <c r="AC46" i="7"/>
  <c r="AD46" i="7"/>
  <c r="AB46" i="7"/>
  <c r="Y46" i="7"/>
  <c r="X46" i="7"/>
  <c r="W46" i="7"/>
  <c r="Y45" i="7"/>
  <c r="W45" i="7"/>
  <c r="X45" i="7"/>
  <c r="Y53" i="7"/>
  <c r="Y110" i="7" s="1"/>
  <c r="X53" i="7"/>
  <c r="X110" i="7" s="1"/>
  <c r="W53" i="7"/>
  <c r="W110" i="7" s="1"/>
  <c r="T45" i="7"/>
  <c r="S45" i="7"/>
  <c r="R45" i="7"/>
  <c r="R46" i="7"/>
  <c r="T46" i="7"/>
  <c r="S46" i="7"/>
  <c r="T53" i="7"/>
  <c r="T110" i="7" s="1"/>
  <c r="S53" i="7"/>
  <c r="S110" i="7" s="1"/>
  <c r="R53" i="7"/>
  <c r="R110" i="7" s="1"/>
  <c r="O45" i="7"/>
  <c r="N45" i="7"/>
  <c r="M45" i="7"/>
  <c r="O53" i="7"/>
  <c r="O110" i="7" s="1"/>
  <c r="N53" i="7"/>
  <c r="N110" i="7" s="1"/>
  <c r="M53" i="7"/>
  <c r="M110" i="7" s="1"/>
  <c r="O46" i="7"/>
  <c r="N46" i="7"/>
  <c r="M46" i="7"/>
  <c r="J45" i="7"/>
  <c r="I45" i="7"/>
  <c r="H45" i="7"/>
  <c r="J46" i="7"/>
  <c r="I46" i="7"/>
  <c r="H46" i="7"/>
  <c r="J53" i="7"/>
  <c r="J110" i="7" s="1"/>
  <c r="I53" i="7"/>
  <c r="I110" i="7" s="1"/>
  <c r="H53" i="7"/>
  <c r="H110" i="7" s="1"/>
  <c r="C53" i="7"/>
  <c r="C110" i="7" s="1"/>
  <c r="D53" i="7"/>
  <c r="D110" i="7" s="1"/>
  <c r="E53" i="7"/>
  <c r="E110" i="7" s="1"/>
  <c r="AT60" i="7"/>
  <c r="AU60" i="7" s="1"/>
  <c r="AT57" i="7"/>
  <c r="AU57" i="7" s="1"/>
  <c r="F57" i="7"/>
  <c r="G57" i="7" s="1"/>
  <c r="E82" i="4"/>
  <c r="D45" i="7"/>
  <c r="E45" i="7"/>
  <c r="C45" i="7"/>
  <c r="C46" i="7"/>
  <c r="D46" i="7"/>
  <c r="E46" i="7"/>
  <c r="E50" i="7"/>
  <c r="C50" i="7"/>
  <c r="G52" i="4"/>
  <c r="E52" i="4"/>
  <c r="F52" i="4"/>
  <c r="U110" i="7" l="1"/>
  <c r="V110" i="7" s="1"/>
  <c r="AO110" i="7"/>
  <c r="AP110" i="7" s="1"/>
  <c r="F110" i="7"/>
  <c r="G110" i="7" s="1"/>
  <c r="K110" i="7"/>
  <c r="L110" i="7" s="1"/>
  <c r="P110" i="7"/>
  <c r="Q110" i="7" s="1"/>
  <c r="AJ110" i="7"/>
  <c r="AK110" i="7" s="1"/>
  <c r="Z110" i="7"/>
  <c r="AA110" i="7" s="1"/>
  <c r="AE110" i="7"/>
  <c r="AF110" i="7" s="1"/>
  <c r="AT110" i="7"/>
  <c r="AU110" i="7" s="1"/>
  <c r="M26" i="11"/>
  <c r="M29" i="11"/>
  <c r="P56" i="7"/>
  <c r="Q56" i="7" s="1"/>
  <c r="J86" i="10"/>
  <c r="L86" i="10"/>
  <c r="J27" i="10"/>
  <c r="M26" i="10"/>
  <c r="M29" i="10"/>
  <c r="AJ62" i="7"/>
  <c r="AK62" i="7" s="1"/>
  <c r="Z62" i="7"/>
  <c r="AA62" i="7" s="1"/>
  <c r="AT62" i="7"/>
  <c r="AU62" i="7" s="1"/>
  <c r="AO62" i="7"/>
  <c r="AP62" i="7" s="1"/>
  <c r="K62" i="7"/>
  <c r="L62" i="7" s="1"/>
  <c r="P62" i="7"/>
  <c r="Q62" i="7" s="1"/>
  <c r="AE62" i="7"/>
  <c r="AF62" i="7" s="1"/>
  <c r="F62" i="7"/>
  <c r="G62" i="7" s="1"/>
  <c r="U62" i="7"/>
  <c r="V62" i="7" s="1"/>
  <c r="Z56" i="7"/>
  <c r="AA56" i="7" s="1"/>
  <c r="AJ56" i="7"/>
  <c r="AK56" i="7" s="1"/>
  <c r="K55" i="7"/>
  <c r="L55" i="7" s="1"/>
  <c r="U63" i="7"/>
  <c r="V63" i="7" s="1"/>
  <c r="AE55" i="7"/>
  <c r="AF55" i="7" s="1"/>
  <c r="AO55" i="7"/>
  <c r="AP55" i="7" s="1"/>
  <c r="AO63" i="7"/>
  <c r="AP63" i="7" s="1"/>
  <c r="K56" i="7"/>
  <c r="L56" i="7" s="1"/>
  <c r="P55" i="7"/>
  <c r="Q55" i="7" s="1"/>
  <c r="Z63" i="7"/>
  <c r="AA63" i="7" s="1"/>
  <c r="AE63" i="7"/>
  <c r="AF63" i="7" s="1"/>
  <c r="AJ55" i="7"/>
  <c r="AK55" i="7" s="1"/>
  <c r="AT63" i="7"/>
  <c r="AU63" i="7" s="1"/>
  <c r="K63" i="7"/>
  <c r="L63" i="7" s="1"/>
  <c r="P63" i="7"/>
  <c r="Q63" i="7" s="1"/>
  <c r="U56" i="7"/>
  <c r="V56" i="7" s="1"/>
  <c r="U55" i="7"/>
  <c r="V55" i="7" s="1"/>
  <c r="Z55" i="7"/>
  <c r="AA55" i="7" s="1"/>
  <c r="AE56" i="7"/>
  <c r="AF56" i="7" s="1"/>
  <c r="AJ63" i="7"/>
  <c r="AK63" i="7" s="1"/>
  <c r="AO56" i="7"/>
  <c r="AP56" i="7" s="1"/>
  <c r="AT56" i="7"/>
  <c r="AU56" i="7" s="1"/>
  <c r="K46" i="7"/>
  <c r="L46" i="7" s="1"/>
  <c r="P45" i="7"/>
  <c r="Q45" i="7" s="1"/>
  <c r="Z53" i="7"/>
  <c r="AA53" i="7" s="1"/>
  <c r="AE53" i="7"/>
  <c r="AF53" i="7" s="1"/>
  <c r="AJ45" i="7"/>
  <c r="AK45" i="7" s="1"/>
  <c r="AT53" i="7"/>
  <c r="AU53" i="7" s="1"/>
  <c r="F63" i="7"/>
  <c r="G63" i="7" s="1"/>
  <c r="U53" i="7"/>
  <c r="V53" i="7" s="1"/>
  <c r="AE45" i="7"/>
  <c r="AF45" i="7" s="1"/>
  <c r="AO45" i="7"/>
  <c r="AP45" i="7" s="1"/>
  <c r="AT45" i="7"/>
  <c r="AU45" i="7" s="1"/>
  <c r="P46" i="7"/>
  <c r="Q46" i="7" s="1"/>
  <c r="Z46" i="7"/>
  <c r="AA46" i="7" s="1"/>
  <c r="AO53" i="7"/>
  <c r="AP53" i="7" s="1"/>
  <c r="AT46" i="7"/>
  <c r="AU46" i="7" s="1"/>
  <c r="AO46" i="7"/>
  <c r="AP46" i="7" s="1"/>
  <c r="AJ53" i="7"/>
  <c r="AK53" i="7" s="1"/>
  <c r="AJ46" i="7"/>
  <c r="AK46" i="7" s="1"/>
  <c r="AE46" i="7"/>
  <c r="AF46" i="7" s="1"/>
  <c r="Z45" i="7"/>
  <c r="AA45" i="7" s="1"/>
  <c r="U45" i="7"/>
  <c r="V45" i="7" s="1"/>
  <c r="U46" i="7"/>
  <c r="V46" i="7" s="1"/>
  <c r="P53" i="7"/>
  <c r="Q53" i="7" s="1"/>
  <c r="K53" i="7"/>
  <c r="L53" i="7" s="1"/>
  <c r="K45" i="7"/>
  <c r="L45" i="7" s="1"/>
  <c r="AS48" i="7"/>
  <c r="AR48" i="7"/>
  <c r="AQ48" i="7"/>
  <c r="AN48" i="7"/>
  <c r="AM48" i="7"/>
  <c r="AL48" i="7"/>
  <c r="AI48" i="7"/>
  <c r="AH48" i="7"/>
  <c r="AG48" i="7"/>
  <c r="AD48" i="7"/>
  <c r="AC48" i="7"/>
  <c r="AB48" i="7"/>
  <c r="X48" i="7"/>
  <c r="W48" i="7"/>
  <c r="Z58" i="7" s="1"/>
  <c r="AA58" i="7" s="1"/>
  <c r="Y48" i="7"/>
  <c r="T48" i="7"/>
  <c r="S48" i="7"/>
  <c r="R48" i="7"/>
  <c r="O48" i="7"/>
  <c r="N48" i="7"/>
  <c r="M48" i="7"/>
  <c r="J48" i="7"/>
  <c r="I48" i="7"/>
  <c r="H48" i="7"/>
  <c r="F53" i="7"/>
  <c r="G53" i="7" s="1"/>
  <c r="D48" i="7"/>
  <c r="C48" i="7"/>
  <c r="E48" i="7"/>
  <c r="AT55" i="7"/>
  <c r="AU55" i="7" s="1"/>
  <c r="F50" i="7"/>
  <c r="G50" i="7" s="1"/>
  <c r="F56" i="7"/>
  <c r="G56" i="7" s="1"/>
  <c r="F55" i="7"/>
  <c r="G55" i="7" s="1"/>
  <c r="F45" i="7"/>
  <c r="G45" i="7" s="1"/>
  <c r="F46" i="7"/>
  <c r="G46" i="7" s="1"/>
  <c r="F60" i="7"/>
  <c r="G60" i="7" s="1"/>
  <c r="M31" i="11" l="1"/>
  <c r="M25" i="11"/>
  <c r="M32" i="11"/>
  <c r="M24" i="11"/>
  <c r="M27" i="10"/>
  <c r="M24" i="10"/>
  <c r="M31" i="10"/>
  <c r="K24" i="10"/>
  <c r="K32" i="10"/>
  <c r="M25" i="10"/>
  <c r="K25" i="10"/>
  <c r="M32" i="10"/>
  <c r="K58" i="7"/>
  <c r="L58" i="7" s="1"/>
  <c r="AE58" i="7"/>
  <c r="AF58" i="7" s="1"/>
  <c r="P58" i="7"/>
  <c r="Q58" i="7" s="1"/>
  <c r="U58" i="7"/>
  <c r="V58" i="7" s="1"/>
  <c r="AO58" i="7"/>
  <c r="AP58" i="7" s="1"/>
  <c r="M27" i="11" s="1"/>
  <c r="AJ58" i="7"/>
  <c r="AK58" i="7" s="1"/>
  <c r="AT58" i="7"/>
  <c r="AU58" i="7" s="1"/>
  <c r="F58" i="7"/>
  <c r="G58" i="7" s="1"/>
  <c r="AJ48" i="7"/>
  <c r="AK48" i="7" s="1"/>
  <c r="AO48" i="7"/>
  <c r="AP48" i="7" s="1"/>
  <c r="AE48" i="7"/>
  <c r="AF48" i="7" s="1"/>
  <c r="AT48" i="7"/>
  <c r="AU48" i="7" s="1"/>
  <c r="Z48" i="7"/>
  <c r="AA48" i="7" s="1"/>
  <c r="U48" i="7"/>
  <c r="V48" i="7" s="1"/>
  <c r="P48" i="7"/>
  <c r="Q48" i="7" s="1"/>
  <c r="K48" i="7"/>
  <c r="L48" i="7" s="1"/>
  <c r="F48" i="7"/>
  <c r="G48" i="7" s="1"/>
  <c r="K35" i="11" l="1"/>
  <c r="J55" i="11" s="1"/>
  <c r="M35" i="11"/>
  <c r="L55" i="11" s="1"/>
  <c r="M35" i="10"/>
  <c r="L58" i="10" s="1"/>
  <c r="M16" i="10" s="1"/>
  <c r="K27" i="10"/>
  <c r="AS125" i="7" l="1"/>
  <c r="Y125" i="7"/>
  <c r="E125" i="7"/>
  <c r="AR125" i="7"/>
  <c r="X125" i="7"/>
  <c r="D125" i="7"/>
  <c r="AQ125" i="7"/>
  <c r="W125" i="7"/>
  <c r="C125" i="7"/>
  <c r="AL125" i="7"/>
  <c r="AG125" i="7"/>
  <c r="J125" i="7"/>
  <c r="AB125" i="7"/>
  <c r="AN125" i="7"/>
  <c r="T125" i="7"/>
  <c r="AI125" i="7"/>
  <c r="N125" i="7"/>
  <c r="AD125" i="7"/>
  <c r="I125" i="7"/>
  <c r="H125" i="7"/>
  <c r="AM125" i="7"/>
  <c r="S125" i="7"/>
  <c r="R125" i="7"/>
  <c r="O125" i="7"/>
  <c r="AH125" i="7"/>
  <c r="M125" i="7"/>
  <c r="AC125" i="7"/>
  <c r="J16" i="11"/>
  <c r="AS124" i="7"/>
  <c r="Y124" i="7"/>
  <c r="E124" i="7"/>
  <c r="R124" i="7"/>
  <c r="O124" i="7"/>
  <c r="AG124" i="7"/>
  <c r="J124" i="7"/>
  <c r="AR124" i="7"/>
  <c r="X124" i="7"/>
  <c r="D124" i="7"/>
  <c r="AI124" i="7"/>
  <c r="AH124" i="7"/>
  <c r="N124" i="7"/>
  <c r="M124" i="7"/>
  <c r="AC124" i="7"/>
  <c r="AQ124" i="7"/>
  <c r="W124" i="7"/>
  <c r="C124" i="7"/>
  <c r="AL124" i="7"/>
  <c r="AN124" i="7"/>
  <c r="T124" i="7"/>
  <c r="AM124" i="7"/>
  <c r="S124" i="7"/>
  <c r="I124" i="7"/>
  <c r="H124" i="7"/>
  <c r="AB124" i="7"/>
  <c r="AD124" i="7"/>
  <c r="J85" i="11"/>
  <c r="J89" i="11" s="1"/>
  <c r="H16" i="11"/>
  <c r="M16" i="11"/>
  <c r="L85" i="11"/>
  <c r="L89" i="11" s="1"/>
  <c r="K35" i="10"/>
  <c r="J58" i="10" s="1"/>
  <c r="L88" i="10"/>
  <c r="L92" i="10" s="1"/>
  <c r="H17" i="11" l="1"/>
  <c r="J17" i="11" s="1"/>
  <c r="K17" i="10"/>
  <c r="P125" i="7"/>
  <c r="Q125" i="7" s="1"/>
  <c r="U125" i="7"/>
  <c r="V125" i="7" s="1"/>
  <c r="Z125" i="7"/>
  <c r="AA125" i="7" s="1"/>
  <c r="AT125" i="7"/>
  <c r="AU125" i="7" s="1"/>
  <c r="AJ125" i="7"/>
  <c r="AK125" i="7" s="1"/>
  <c r="AE125" i="7"/>
  <c r="AF125" i="7" s="1"/>
  <c r="F125" i="7"/>
  <c r="G125" i="7" s="1"/>
  <c r="AO125" i="7"/>
  <c r="AP125" i="7" s="1"/>
  <c r="K125" i="7"/>
  <c r="L125" i="7" s="1"/>
  <c r="AO124" i="7"/>
  <c r="AP124" i="7" s="1"/>
  <c r="F124" i="7"/>
  <c r="G124" i="7" s="1"/>
  <c r="AJ124" i="7"/>
  <c r="AK124" i="7" s="1"/>
  <c r="Z124" i="7"/>
  <c r="AA124" i="7" s="1"/>
  <c r="U124" i="7"/>
  <c r="V124" i="7" s="1"/>
  <c r="AT124" i="7"/>
  <c r="AU124" i="7" s="1"/>
  <c r="AE124" i="7"/>
  <c r="AF124" i="7" s="1"/>
  <c r="P124" i="7"/>
  <c r="Q124" i="7" s="1"/>
  <c r="K124" i="7"/>
  <c r="L124" i="7" s="1"/>
  <c r="L17" i="11"/>
  <c r="K17" i="11"/>
  <c r="AS82" i="7"/>
  <c r="AS83" i="7" s="1"/>
  <c r="AQ82" i="7"/>
  <c r="AQ83" i="7" s="1"/>
  <c r="AL82" i="7"/>
  <c r="AL83" i="7" s="1"/>
  <c r="AC82" i="7"/>
  <c r="AC83" i="7" s="1"/>
  <c r="W82" i="7"/>
  <c r="W83" i="7" s="1"/>
  <c r="AI82" i="7"/>
  <c r="AI83" i="7" s="1"/>
  <c r="D82" i="7"/>
  <c r="D83" i="7" s="1"/>
  <c r="AB82" i="7"/>
  <c r="AB83" i="7" s="1"/>
  <c r="Y82" i="7"/>
  <c r="Y83" i="7" s="1"/>
  <c r="M82" i="7"/>
  <c r="M83" i="7" s="1"/>
  <c r="I82" i="7"/>
  <c r="I83" i="7" s="1"/>
  <c r="AG82" i="7"/>
  <c r="AG83" i="7" s="1"/>
  <c r="E82" i="7"/>
  <c r="E83" i="7" s="1"/>
  <c r="H82" i="7"/>
  <c r="H83" i="7" s="1"/>
  <c r="C82" i="7"/>
  <c r="C83" i="7" s="1"/>
  <c r="J88" i="10"/>
  <c r="N82" i="7"/>
  <c r="N83" i="7" s="1"/>
  <c r="AH82" i="7"/>
  <c r="AH83" i="7" s="1"/>
  <c r="AN82" i="7"/>
  <c r="AN83" i="7" s="1"/>
  <c r="AM82" i="7"/>
  <c r="AM83" i="7" s="1"/>
  <c r="AD82" i="7"/>
  <c r="AD83" i="7" s="1"/>
  <c r="J82" i="7"/>
  <c r="J83" i="7" s="1"/>
  <c r="T82" i="7"/>
  <c r="T83" i="7" s="1"/>
  <c r="J16" i="10"/>
  <c r="AR82" i="7"/>
  <c r="AR83" i="7" s="1"/>
  <c r="H16" i="10"/>
  <c r="S82" i="7"/>
  <c r="S83" i="7" s="1"/>
  <c r="X82" i="7"/>
  <c r="X83" i="7" s="1"/>
  <c r="R82" i="7"/>
  <c r="R83" i="7" s="1"/>
  <c r="O82" i="7"/>
  <c r="O83" i="7" s="1"/>
  <c r="L17" i="10"/>
  <c r="J92" i="10" l="1"/>
  <c r="H17" i="10" s="1"/>
  <c r="J17" i="10" s="1"/>
  <c r="AT83" i="7"/>
  <c r="AU83" i="7" s="1"/>
  <c r="F83" i="7"/>
  <c r="G83" i="7" s="1"/>
  <c r="AO83" i="7"/>
  <c r="AP83" i="7" s="1"/>
  <c r="L57" i="11" s="1"/>
  <c r="AJ83" i="7"/>
  <c r="AK83" i="7" s="1"/>
  <c r="U83" i="7"/>
  <c r="V83" i="7" s="1"/>
  <c r="P83" i="7"/>
  <c r="Q83" i="7" s="1"/>
  <c r="K83" i="7"/>
  <c r="L83" i="7" s="1"/>
  <c r="AE83" i="7"/>
  <c r="AF83" i="7" s="1"/>
  <c r="Z83" i="7"/>
  <c r="AA83" i="7" s="1"/>
  <c r="AJ82" i="7"/>
  <c r="AK82" i="7" s="1"/>
  <c r="K82" i="7"/>
  <c r="L82" i="7" s="1"/>
  <c r="AE82" i="7"/>
  <c r="AF82" i="7" s="1"/>
  <c r="P82" i="7"/>
  <c r="Q82" i="7" s="1"/>
  <c r="AO82" i="7"/>
  <c r="AP82" i="7" s="1"/>
  <c r="Z82" i="7"/>
  <c r="AA82" i="7" s="1"/>
  <c r="U82" i="7"/>
  <c r="V82" i="7" s="1"/>
  <c r="AT82" i="7"/>
  <c r="AU82" i="7" s="1"/>
  <c r="F82" i="7"/>
  <c r="G82" i="7" s="1"/>
  <c r="L86" i="11" l="1"/>
  <c r="L90" i="11" s="1"/>
  <c r="J57" i="11"/>
  <c r="J86" i="11" s="1"/>
  <c r="J90" i="11" s="1"/>
  <c r="L60" i="10"/>
  <c r="L89" i="10" s="1"/>
  <c r="L93" i="10" s="1"/>
  <c r="J60" i="10"/>
  <c r="J89" i="10" l="1"/>
  <c r="J93" i="10" s="1"/>
  <c r="H18" i="10" s="1"/>
  <c r="J18" i="10" s="1"/>
  <c r="L18" i="10"/>
  <c r="E28" i="7"/>
  <c r="H18" i="11"/>
  <c r="J18" i="11" s="1"/>
  <c r="F21" i="7"/>
  <c r="F19" i="7"/>
  <c r="F18" i="7"/>
  <c r="F20" i="7"/>
  <c r="M15" i="10"/>
  <c r="A28" i="7"/>
  <c r="B18" i="7" s="1"/>
  <c r="H15" i="11"/>
  <c r="J15" i="11"/>
  <c r="M15" i="11"/>
  <c r="L18" i="11"/>
  <c r="J15" i="10"/>
  <c r="H15" i="10"/>
  <c r="B20" i="7" l="1"/>
  <c r="B21" i="7"/>
  <c r="B19" i="7"/>
</calcChain>
</file>

<file path=xl/comments1.xml><?xml version="1.0" encoding="utf-8"?>
<comments xmlns="http://schemas.openxmlformats.org/spreadsheetml/2006/main">
  <authors>
    <author>Глазырина Евгения Викторовна</author>
  </authors>
  <commentLis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part of Other receivables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part of Other liabilities</t>
        </r>
      </text>
    </comment>
  </commentList>
</comments>
</file>

<file path=xl/sharedStrings.xml><?xml version="1.0" encoding="utf-8"?>
<sst xmlns="http://schemas.openxmlformats.org/spreadsheetml/2006/main" count="882" uniqueCount="344">
  <si>
    <t>Доходы будущих периодов</t>
  </si>
  <si>
    <t>Оценочные обязательства</t>
  </si>
  <si>
    <t>Дебиторская задолженность</t>
  </si>
  <si>
    <t>Наименование показателя</t>
  </si>
  <si>
    <t>Коэффициент быстрой ликвидности</t>
  </si>
  <si>
    <t>Кредиторская задолженность</t>
  </si>
  <si>
    <t>Запасы</t>
  </si>
  <si>
    <t>заполнять вручную</t>
  </si>
  <si>
    <t>заполняется автоматически</t>
  </si>
  <si>
    <t>Валюта отчетности</t>
  </si>
  <si>
    <t>Бухгалтерский баланс (Форма №1)</t>
  </si>
  <si>
    <t>Код строки</t>
  </si>
  <si>
    <t>АКТИВ</t>
  </si>
  <si>
    <t>I. Внеоборотные активы:</t>
  </si>
  <si>
    <t>Нематериальные активы</t>
  </si>
  <si>
    <t>Результаты исследований и разработок</t>
  </si>
  <si>
    <t>Нематериальные поисковые активы</t>
  </si>
  <si>
    <t>Материальные поисковые активы</t>
  </si>
  <si>
    <t>Основные средства (в т.ч. НЗ)</t>
  </si>
  <si>
    <t>Финансовые вложения</t>
  </si>
  <si>
    <t>Отложенные налоговые активы</t>
  </si>
  <si>
    <t>Прочие внеоборотные активы</t>
  </si>
  <si>
    <t>II. Оборотные активы</t>
  </si>
  <si>
    <t>ИТОГО АКТИВ</t>
  </si>
  <si>
    <t>ПАССИВ</t>
  </si>
  <si>
    <t>Уставной капитал</t>
  </si>
  <si>
    <t>Собственные акции, выкупленные у акционеров</t>
  </si>
  <si>
    <t>Резервный капитал</t>
  </si>
  <si>
    <t>Нераспределенная прибыль (непокрытый убыток)</t>
  </si>
  <si>
    <t>III. Капитал и резервы:</t>
  </si>
  <si>
    <t>Заемные средства</t>
  </si>
  <si>
    <t>Отложенные налоговые обязательства</t>
  </si>
  <si>
    <t>IV. Долгосрочные обязательства</t>
  </si>
  <si>
    <t>V. Краткосрочные обязательства:</t>
  </si>
  <si>
    <t>ИТОГО ПАССИВ</t>
  </si>
  <si>
    <t>Чистые активы</t>
  </si>
  <si>
    <t>Отчет об изменении капитала (Форма №3)</t>
  </si>
  <si>
    <t>1.3 Код контрагента в системе учета (при наличии):</t>
  </si>
  <si>
    <t>Задолженность учредителей по взносам в УК</t>
  </si>
  <si>
    <t>Чистая прибыль (убыток)</t>
  </si>
  <si>
    <t>Период (дни)</t>
  </si>
  <si>
    <t>Рентабельность продаж</t>
  </si>
  <si>
    <t>Наименьшее значение (показатель 1)</t>
  </si>
  <si>
    <t>ОА-КО (показатель 2)</t>
  </si>
  <si>
    <t>1.1 Наименование контрагента:</t>
  </si>
  <si>
    <t>Currency</t>
  </si>
  <si>
    <t>Statement of Financial Position</t>
  </si>
  <si>
    <t>ASSETS</t>
  </si>
  <si>
    <t>I. Non-current assets:</t>
  </si>
  <si>
    <t>Property, plant and equipment</t>
  </si>
  <si>
    <t>Goodwill and other intangible assets</t>
  </si>
  <si>
    <t>Long-term trade and other receivables</t>
  </si>
  <si>
    <t>Long-term financial assets</t>
  </si>
  <si>
    <t>Other non-current assets</t>
  </si>
  <si>
    <t>II. Current assets:</t>
  </si>
  <si>
    <t>Cash and cash equivalents</t>
  </si>
  <si>
    <t>Short-term financial assets</t>
  </si>
  <si>
    <t>Trade and other receivables</t>
  </si>
  <si>
    <t>Receivables from stakeholders</t>
  </si>
  <si>
    <t>Inventories</t>
  </si>
  <si>
    <t>Other current assets</t>
  </si>
  <si>
    <t>TOTAL ASSETS</t>
  </si>
  <si>
    <t>LIABILITIES AND SHAREHOLDER'S EQUITY</t>
  </si>
  <si>
    <t>III. Equity</t>
  </si>
  <si>
    <t>Share capital</t>
  </si>
  <si>
    <t>Additional paid-in capital</t>
  </si>
  <si>
    <t>Retained earnings</t>
  </si>
  <si>
    <t>Other reserves</t>
  </si>
  <si>
    <t>IV. Long-term liabilities</t>
  </si>
  <si>
    <t>Other non-current financial liabilities</t>
  </si>
  <si>
    <t>Provisions</t>
  </si>
  <si>
    <t>Other non-current liabilities</t>
  </si>
  <si>
    <t>V. Short-term liabilities</t>
  </si>
  <si>
    <t>Trade and other payables</t>
  </si>
  <si>
    <t>Other current financial liabilities</t>
  </si>
  <si>
    <t>Current income tax payable</t>
  </si>
  <si>
    <t>Other current liabilities</t>
  </si>
  <si>
    <t>Deferred income</t>
  </si>
  <si>
    <t>TOTAL LIABILITIES AND EQUITY</t>
  </si>
  <si>
    <t>Statement of Profit and Loss</t>
  </si>
  <si>
    <t>Revenue</t>
  </si>
  <si>
    <t>Period (day's)</t>
  </si>
  <si>
    <t>Опыт работы с контрагентом</t>
  </si>
  <si>
    <t>более 3-х лет</t>
  </si>
  <si>
    <t>от 1 до 3-х лет</t>
  </si>
  <si>
    <t>менее 1 года</t>
  </si>
  <si>
    <t>отсутствует</t>
  </si>
  <si>
    <t>Наличие просроченной дебиторской задолженности с ГК ГПН</t>
  </si>
  <si>
    <t>ПДЗ отсутствовала</t>
  </si>
  <si>
    <t>Наличие проблем по взысканию задолженности с контрагента (судебные разбирательства, исполнительное производство)</t>
  </si>
  <si>
    <t>Нет</t>
  </si>
  <si>
    <t>Разовая ПДЗ продолжительностью более 30 дней</t>
  </si>
  <si>
    <t>Неоднократное возникновение ПДЗ</t>
  </si>
  <si>
    <t>ДАННЫЕ ОТЧЕТНОСТИ</t>
  </si>
  <si>
    <t>НДС по приобретенным ценностям</t>
  </si>
  <si>
    <t>Фин.вложения (за искл.денеж.эквивалентов)</t>
  </si>
  <si>
    <t>Отчет о финансовых результатах (Форма №2)</t>
  </si>
  <si>
    <t>Кол-во баллов</t>
  </si>
  <si>
    <t>Значение</t>
  </si>
  <si>
    <t>1.2 ИНН контрагента:</t>
  </si>
  <si>
    <t>Информация отсутствует</t>
  </si>
  <si>
    <t>из 100</t>
  </si>
  <si>
    <t>(Автоматический расчет)</t>
  </si>
  <si>
    <t>(Заполняется вручную)</t>
  </si>
  <si>
    <t>Единица измерения</t>
  </si>
  <si>
    <t>руб.</t>
  </si>
  <si>
    <t>ДАННЫЕ О КОНТРАГЕНТЕ</t>
  </si>
  <si>
    <t>Расчеты проводил(а):</t>
  </si>
  <si>
    <t>1. ФИНАНСОВЫЕ ПОКАЗАТЕЛИ</t>
  </si>
  <si>
    <t>1.3 Код основного вида деятельности (ОКВЭД)</t>
  </si>
  <si>
    <t>Дата оценки</t>
  </si>
  <si>
    <t>Категория</t>
  </si>
  <si>
    <t>1.2 Коэффициент быстрой ликвидности</t>
  </si>
  <si>
    <t>1.5 Рентабельность продаж</t>
  </si>
  <si>
    <t>2. ПОКАЗАТЕЛИ ДЕЛОВОЙ РЕПУТАЦИИ</t>
  </si>
  <si>
    <t>Итого баллов с учетом веса показателей</t>
  </si>
  <si>
    <t>2.1 Опыт работы с контрагентом</t>
  </si>
  <si>
    <t>2.2 Платежная дисциплина контрагента</t>
  </si>
  <si>
    <t>3. ПОКАЗАТЕЛИ ИЗ ВНЕШНИХ ИСТОЧНИКОВ</t>
  </si>
  <si>
    <t>3.1 Возраст компании</t>
  </si>
  <si>
    <t>3.2 Сводный индикатор риска СПАРК</t>
  </si>
  <si>
    <t>Повышающие показатели</t>
  </si>
  <si>
    <t>ИТОГО СКОРИНГ-БАЛЛ (1.+2.+3.)</t>
  </si>
  <si>
    <t>Группа кредитоспособности (1-4)</t>
  </si>
  <si>
    <t>Класс контрагента (А-С)</t>
  </si>
  <si>
    <t>(Голубая ячейка заполняется вручную)</t>
  </si>
  <si>
    <t>СКОРИНГ-БАЛЛ</t>
  </si>
  <si>
    <t>Высокий</t>
  </si>
  <si>
    <t>Средний</t>
  </si>
  <si>
    <t>Низкий</t>
  </si>
  <si>
    <t>Сводный индикатор риска СПАРК</t>
  </si>
  <si>
    <t>Реестр недобросовестных поставщиков</t>
  </si>
  <si>
    <t>Включен в реестр</t>
  </si>
  <si>
    <t>Отсутствует в реестре</t>
  </si>
  <si>
    <t>ВНУТРЕННИЙ КРЕДИТНЫЙ РЕЙТИНГ</t>
  </si>
  <si>
    <t>Баллы</t>
  </si>
  <si>
    <t>Дата регистрации</t>
  </si>
  <si>
    <t>Коды ОКВЭД</t>
  </si>
  <si>
    <t>41-43, 71</t>
  </si>
  <si>
    <t>62-63</t>
  </si>
  <si>
    <t>06, 49.5, 09, 19.2</t>
  </si>
  <si>
    <t>49-53, за искл. 49.5, 51, 50</t>
  </si>
  <si>
    <t>45-47</t>
  </si>
  <si>
    <t>10-33, 35, за искл.19.2</t>
  </si>
  <si>
    <t>(В голубой ячейке выбрать значение из списка)</t>
  </si>
  <si>
    <t>(В голубых ячейках выбрать значение из списка )</t>
  </si>
  <si>
    <t>РСБУ</t>
  </si>
  <si>
    <t>Текущий период точка</t>
  </si>
  <si>
    <t>ось X</t>
  </si>
  <si>
    <t>ось Y</t>
  </si>
  <si>
    <t>Мэппинг</t>
  </si>
  <si>
    <t>A</t>
  </si>
  <si>
    <t>B</t>
  </si>
  <si>
    <t>C</t>
  </si>
  <si>
    <t>Класс</t>
  </si>
  <si>
    <t>Наличие СТОП-факторов</t>
  </si>
  <si>
    <t>Да, контрагент ликвидирован</t>
  </si>
  <si>
    <t>Да, контрагент находится в состоянии банкротства</t>
  </si>
  <si>
    <t>Да, отрицательные Чистые активы за последние 2 года</t>
  </si>
  <si>
    <t>Коды ОКВЭД 41-43, 71</t>
  </si>
  <si>
    <t>Коды ОКВЭД 06, 49.5, 09, 19.2</t>
  </si>
  <si>
    <t>Коды ОКВЭД 49-53, за искл. 49.5, 51, 50</t>
  </si>
  <si>
    <t>Коды ОКВЭД 45-47</t>
  </si>
  <si>
    <t>Коды ОКВЭД 51</t>
  </si>
  <si>
    <t>Коды ОКВЭД 50</t>
  </si>
  <si>
    <t>Остальные коды ОКВЭД</t>
  </si>
  <si>
    <t>ФИНАНСОВЫЕ ПОКАЗАТЕЛИ</t>
  </si>
  <si>
    <t>Строительство</t>
  </si>
  <si>
    <t>Добыча, переработка и транспортировка газа, нефти и нефтепродуктов</t>
  </si>
  <si>
    <t>Транспортировка и хранение</t>
  </si>
  <si>
    <t>Торговля</t>
  </si>
  <si>
    <t>Производство</t>
  </si>
  <si>
    <t>Авиакомпания</t>
  </si>
  <si>
    <t>Судовладелец</t>
  </si>
  <si>
    <t>Прочие</t>
  </si>
  <si>
    <t>1.1</t>
  </si>
  <si>
    <t>1.2</t>
  </si>
  <si>
    <t>1.3</t>
  </si>
  <si>
    <t>1.4</t>
  </si>
  <si>
    <t>1.5</t>
  </si>
  <si>
    <t>1.6</t>
  </si>
  <si>
    <t>1.8</t>
  </si>
  <si>
    <t>Макс. балл</t>
  </si>
  <si>
    <t>Период 2</t>
  </si>
  <si>
    <t>№</t>
  </si>
  <si>
    <t>Порог</t>
  </si>
  <si>
    <t>Балл</t>
  </si>
  <si>
    <t>Группа кредитоспособности</t>
  </si>
  <si>
    <t xml:space="preserve">3 группа </t>
  </si>
  <si>
    <t>2 группа</t>
  </si>
  <si>
    <t>1 группа</t>
  </si>
  <si>
    <t>Расчет порога</t>
  </si>
  <si>
    <t>Период 1</t>
  </si>
  <si>
    <t>Unit</t>
  </si>
  <si>
    <t>1.2 Идентификационный номер (TIN):</t>
  </si>
  <si>
    <t>1.3 Категория:</t>
  </si>
  <si>
    <t>Категория  контрагента</t>
  </si>
  <si>
    <t>Расчет группы кредитоспособности РСБУ</t>
  </si>
  <si>
    <t>Расчет группы кредитоспособности МСФО</t>
  </si>
  <si>
    <t>МСФО расчет баллов</t>
  </si>
  <si>
    <t>Разовая ПДЗ продолжительностью менее 30 дней</t>
  </si>
  <si>
    <t>Техническая ПДЗ</t>
  </si>
  <si>
    <t>mln</t>
  </si>
  <si>
    <t>$</t>
  </si>
  <si>
    <t>1.4 Наличие СТОП-факторов:</t>
  </si>
  <si>
    <t>ИТОГОВОЕ ЗАКЛЮЧЕНИЕ</t>
  </si>
  <si>
    <t>МСФО</t>
  </si>
  <si>
    <t>Коды ОКВЭД 05, 07-08, 10-33, 35, за искл.19.2</t>
  </si>
  <si>
    <t>(В голубых ячейках выбрать значение из списка)</t>
  </si>
  <si>
    <t>ЭКСПРЕСС-ОЦЕНКА КОНТРАГЕНТА</t>
  </si>
  <si>
    <t>Инвестиционная недвижимость</t>
  </si>
  <si>
    <t>Дебиторская задолженность, платежи по которой ожидаются более чем через 12 месяцев после отчетной даты</t>
  </si>
  <si>
    <t>Накопленная дооценка внеоборотных активов</t>
  </si>
  <si>
    <t>Кредиторская задолженность со сроком погашения более чем 12 месяцев после отчетной даты</t>
  </si>
  <si>
    <t>Право пользования активом</t>
  </si>
  <si>
    <t>Долгосрочные активы к продаже</t>
  </si>
  <si>
    <t>Прочие оборотные активы</t>
  </si>
  <si>
    <t>Добавочный капитал (без накопленной дооценки)</t>
  </si>
  <si>
    <t>Обязательство по аренде</t>
  </si>
  <si>
    <t>Валовая прибыль (убыток)</t>
  </si>
  <si>
    <t>Прибыль (убыток) от продаж</t>
  </si>
  <si>
    <t>Налог на прибыль организаций</t>
  </si>
  <si>
    <t>Прочее</t>
  </si>
  <si>
    <t xml:space="preserve"> Коммерческие расходы</t>
  </si>
  <si>
    <t xml:space="preserve"> Управленческие расходы</t>
  </si>
  <si>
    <t xml:space="preserve"> Доходы от участия в других организациях</t>
  </si>
  <si>
    <t xml:space="preserve"> Проценты к получению</t>
  </si>
  <si>
    <t xml:space="preserve"> Проценты к уплате</t>
  </si>
  <si>
    <t xml:space="preserve"> Прочие доходы</t>
  </si>
  <si>
    <t xml:space="preserve"> Прочие расходы</t>
  </si>
  <si>
    <t xml:space="preserve"> в т.ч. текущий налог на прибыль</t>
  </si>
  <si>
    <t xml:space="preserve"> отложенный налог на прибыль</t>
  </si>
  <si>
    <t xml:space="preserve"> Себестоимость продаж</t>
  </si>
  <si>
    <t xml:space="preserve"> Выручка</t>
  </si>
  <si>
    <t>Коэффициент текущей ликвидности</t>
  </si>
  <si>
    <t>Коэффициент долговой нагрузки</t>
  </si>
  <si>
    <t>Коэффициент покрытия процентов</t>
  </si>
  <si>
    <t>Динамика ликвидности</t>
  </si>
  <si>
    <t>Динамика рентабельности продаж</t>
  </si>
  <si>
    <t>4.1 Графовый индикатор</t>
  </si>
  <si>
    <t>4.2 Исковый индикатор</t>
  </si>
  <si>
    <t>3.3 Реестр недобросовестных поставщиков</t>
  </si>
  <si>
    <t>Понижающий показатель</t>
  </si>
  <si>
    <t>1.1 Коэффициент текущей ликвидности</t>
  </si>
  <si>
    <t>1.4 Коэффициент автономии</t>
  </si>
  <si>
    <t>1.6 Коэффициент долговой нагрузки</t>
  </si>
  <si>
    <t>1.7 Коэффициент покрытия процентов</t>
  </si>
  <si>
    <t>1.8 Коэффициент маневренности</t>
  </si>
  <si>
    <t>1.10 Динамика ликвидности</t>
  </si>
  <si>
    <t>1.11 Динамика рентабельности продаж</t>
  </si>
  <si>
    <t>1.7</t>
  </si>
  <si>
    <t>1.9</t>
  </si>
  <si>
    <t>Коэффициент автономии</t>
  </si>
  <si>
    <t>Коэффициент маневренности</t>
  </si>
  <si>
    <t>Рентабельность капитала</t>
  </si>
  <si>
    <t>1.9 Рентабельность капитала</t>
  </si>
  <si>
    <t>5.1 Наличие досудебных претензий</t>
  </si>
  <si>
    <t>5.2 Наличие исковых требований</t>
  </si>
  <si>
    <t>5. ДАННЫЕ О ПРЕТЕНЗИОННО-ИСКОВОЙ РАБОТЕ С КОНТРАГЕНТОМ</t>
  </si>
  <si>
    <t>1660000129</t>
  </si>
  <si>
    <t>СНПХ, АО</t>
  </si>
  <si>
    <t>20.41.2</t>
  </si>
  <si>
    <t>Коды ОКВЭД 62-63</t>
  </si>
  <si>
    <t>ИТ</t>
  </si>
  <si>
    <t>Наличие досудебных претензий</t>
  </si>
  <si>
    <t>Наличие исковых требований</t>
  </si>
  <si>
    <t>Наличие судебных разбирательств с ГК ГПН</t>
  </si>
  <si>
    <t>Приняты решения суда в пользу ГК ГПН</t>
  </si>
  <si>
    <t>Штраф</t>
  </si>
  <si>
    <t>Размер штрафа</t>
  </si>
  <si>
    <t>Отсутствуют</t>
  </si>
  <si>
    <t>1 претензия</t>
  </si>
  <si>
    <t>AAA</t>
  </si>
  <si>
    <t>AA+</t>
  </si>
  <si>
    <t>AA</t>
  </si>
  <si>
    <t>AA-</t>
  </si>
  <si>
    <t>A+</t>
  </si>
  <si>
    <t>A-</t>
  </si>
  <si>
    <t>BBB+</t>
  </si>
  <si>
    <t>BBB</t>
  </si>
  <si>
    <t>BBB-</t>
  </si>
  <si>
    <t>BB+</t>
  </si>
  <si>
    <t>BB</t>
  </si>
  <si>
    <t>BB-</t>
  </si>
  <si>
    <t>B+</t>
  </si>
  <si>
    <t>B-</t>
  </si>
  <si>
    <t>CCC+</t>
  </si>
  <si>
    <t>CCC</t>
  </si>
  <si>
    <t>CCC-</t>
  </si>
  <si>
    <t>CC+</t>
  </si>
  <si>
    <t>CC</t>
  </si>
  <si>
    <t>CC-</t>
  </si>
  <si>
    <t>C-</t>
  </si>
  <si>
    <t>NR</t>
  </si>
  <si>
    <t>ВКР (Графовый индикатор)</t>
  </si>
  <si>
    <t>Баллы (Исковый индикатор)</t>
  </si>
  <si>
    <t>Баллы (Графовый индикатор)</t>
  </si>
  <si>
    <t>Для коэф</t>
  </si>
  <si>
    <t>Рост</t>
  </si>
  <si>
    <t>Снижение</t>
  </si>
  <si>
    <t>На прежнем уровне</t>
  </si>
  <si>
    <t>Итого дополнительных баллов</t>
  </si>
  <si>
    <t>Нет данных</t>
  </si>
  <si>
    <r>
      <t xml:space="preserve">База для расчета лимита авансового платежа </t>
    </r>
    <r>
      <rPr>
        <sz val="8"/>
        <color theme="1"/>
        <rFont val="Arial"/>
        <family val="2"/>
        <charset val="204"/>
      </rPr>
      <t>(показатель 1)</t>
    </r>
  </si>
  <si>
    <r>
      <t xml:space="preserve">База для расчета кредитного лимита </t>
    </r>
    <r>
      <rPr>
        <i/>
        <sz val="8"/>
        <color theme="1"/>
        <rFont val="Arial"/>
        <family val="2"/>
        <charset val="204"/>
      </rPr>
      <t>(наибольшее из показателей 1 и 2)</t>
    </r>
  </si>
  <si>
    <r>
      <t xml:space="preserve">Понижающий коэффициент </t>
    </r>
    <r>
      <rPr>
        <i/>
        <sz val="10"/>
        <rFont val="Arial"/>
        <family val="2"/>
        <charset val="204"/>
      </rPr>
      <t>(итого баллов/100)</t>
    </r>
  </si>
  <si>
    <t>2-3 претензии</t>
  </si>
  <si>
    <t>4-6 претензии</t>
  </si>
  <si>
    <t>7 и более претензий</t>
  </si>
  <si>
    <t xml:space="preserve">тыс. </t>
  </si>
  <si>
    <t>Investments in associates and joint ventures</t>
  </si>
  <si>
    <t>Deferred tax assets</t>
  </si>
  <si>
    <t>Current tax prepayments</t>
  </si>
  <si>
    <t>Cost of sales</t>
  </si>
  <si>
    <t>Gross profit</t>
  </si>
  <si>
    <t>Results from operating activities</t>
  </si>
  <si>
    <t>Profit/(loss) before income tax</t>
  </si>
  <si>
    <t>Profit/(loss)</t>
  </si>
  <si>
    <t>Reserves</t>
  </si>
  <si>
    <t>Finance income</t>
  </si>
  <si>
    <t>Finance costs</t>
  </si>
  <si>
    <t>Non-controlling interests</t>
  </si>
  <si>
    <t>Equity attributable to owners of the Company</t>
  </si>
  <si>
    <t>Deferred tax liabilities</t>
  </si>
  <si>
    <t>Loans and borrowings</t>
  </si>
  <si>
    <t>4.2 Исковый индикатор БАНК ГПБ (АО)</t>
  </si>
  <si>
    <t>4.1 Графовый индикатор БАНК ГПБ (АО)</t>
  </si>
  <si>
    <t>Прибыль (убыток) до налогообложения</t>
  </si>
  <si>
    <t>для налогов</t>
  </si>
  <si>
    <t>не более 10%</t>
  </si>
  <si>
    <t>более 10%</t>
  </si>
  <si>
    <t>Итого штрафные баллы с учетом показателей</t>
  </si>
  <si>
    <r>
      <t xml:space="preserve">Доп. коэффициент по индикаторам </t>
    </r>
    <r>
      <rPr>
        <i/>
        <sz val="10"/>
        <rFont val="Arial"/>
        <family val="2"/>
        <charset val="204"/>
      </rPr>
      <t>(1+доп. баллы/100)</t>
    </r>
  </si>
  <si>
    <r>
      <t xml:space="preserve">Штраф за наличие претензионно-исковой работы </t>
    </r>
    <r>
      <rPr>
        <i/>
        <sz val="10"/>
        <rFont val="Arial"/>
        <family val="2"/>
        <charset val="204"/>
      </rPr>
      <t>(штрафные баллы/100)</t>
    </r>
  </si>
  <si>
    <r>
      <t xml:space="preserve">Коэффициент надежности </t>
    </r>
    <r>
      <rPr>
        <i/>
        <sz val="10"/>
        <rFont val="Arial"/>
        <family val="2"/>
        <charset val="204"/>
      </rPr>
      <t>( по группе кредитоспособности)</t>
    </r>
  </si>
  <si>
    <t>4. ДОПОЛНИТЕЛЬНЫЕ ПОКАЗАТЕЛИ</t>
  </si>
  <si>
    <t>Денежные средства и денежные эквиваленты</t>
  </si>
  <si>
    <t>Прочие долгосрочные обязательства</t>
  </si>
  <si>
    <t>Прочие краткосрочные обязательства</t>
  </si>
  <si>
    <t>1234567890</t>
  </si>
  <si>
    <t>ООО "КОМПАНИЯ"</t>
  </si>
  <si>
    <t>Смирнов С.С.</t>
  </si>
  <si>
    <t>1.3 Длительность операционного цикла</t>
  </si>
  <si>
    <t>Длительность операционного 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</si>
</sst>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_-* #,##0_р_._-;\-* #,##0_р_._-;_-* &quot;-&quot;??_р_._-;_-@_-"/>
    <numFmt numFmtId="166" formatCode="#,##0_ ;\-#,##0\ "/>
    <numFmt numFmtId="167" formatCode="#,##0.0"/>
    <numFmt numFmtId="168" formatCode="0.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color indexed="81"/>
      <name val="Tahoma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sz val="12"/>
      <name val="Arial"/>
      <family val="2"/>
      <charset val="204"/>
    </font>
    <font>
      <b/>
      <sz val="14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theme="0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70BA"/>
      <name val="Arial"/>
      <family val="2"/>
      <charset val="204"/>
    </font>
    <font>
      <b/>
      <sz val="1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BA"/>
        <bgColor indexed="64"/>
      </patternFill>
    </fill>
    <fill>
      <patternFill patternType="solid">
        <fgColor rgb="FF0097D8"/>
        <bgColor indexed="64"/>
      </patternFill>
    </fill>
    <fill>
      <patternFill patternType="solid">
        <fgColor rgb="FFC9E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36">
    <xf numFmtId="0" fontId="0" fillId="0" borderId="0" xfId="0"/>
    <xf numFmtId="0" fontId="4" fillId="0" borderId="0" xfId="0" applyFont="1"/>
    <xf numFmtId="0" fontId="5" fillId="0" borderId="0" xfId="0" applyFont="1"/>
    <xf numFmtId="49" fontId="4" fillId="0" borderId="0" xfId="0" applyNumberFormat="1" applyFont="1"/>
    <xf numFmtId="0" fontId="6" fillId="0" borderId="0" xfId="0" applyFont="1" applyBorder="1"/>
    <xf numFmtId="0" fontId="4" fillId="0" borderId="0" xfId="0" applyFont="1" applyFill="1" applyBorder="1"/>
    <xf numFmtId="0" fontId="4" fillId="0" borderId="0" xfId="0" applyFont="1" applyBorder="1"/>
    <xf numFmtId="0" fontId="8" fillId="0" borderId="0" xfId="3" applyFont="1"/>
    <xf numFmtId="0" fontId="9" fillId="0" borderId="0" xfId="0" applyFont="1"/>
    <xf numFmtId="0" fontId="4" fillId="0" borderId="0" xfId="0" applyFont="1" applyFill="1"/>
    <xf numFmtId="0" fontId="5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/>
    <xf numFmtId="4" fontId="4" fillId="0" borderId="0" xfId="2" applyNumberFormat="1" applyFont="1" applyFill="1" applyBorder="1" applyAlignment="1">
      <alignment horizontal="right"/>
    </xf>
    <xf numFmtId="14" fontId="14" fillId="3" borderId="0" xfId="3" applyNumberFormat="1" applyFont="1" applyFill="1" applyAlignment="1">
      <alignment horizontal="center" vertical="center"/>
    </xf>
    <xf numFmtId="0" fontId="14" fillId="0" borderId="0" xfId="3" applyFont="1" applyFill="1"/>
    <xf numFmtId="0" fontId="14" fillId="0" borderId="0" xfId="3" applyFont="1"/>
    <xf numFmtId="3" fontId="16" fillId="0" borderId="0" xfId="3" applyNumberFormat="1" applyFont="1" applyFill="1"/>
    <xf numFmtId="0" fontId="7" fillId="0" borderId="0" xfId="3" applyFont="1"/>
    <xf numFmtId="14" fontId="14" fillId="0" borderId="0" xfId="3" applyNumberFormat="1" applyFont="1" applyAlignment="1">
      <alignment horizontal="right"/>
    </xf>
    <xf numFmtId="3" fontId="14" fillId="0" borderId="0" xfId="3" applyNumberFormat="1" applyFont="1" applyAlignment="1">
      <alignment horizontal="center" vertical="top" wrapText="1"/>
    </xf>
    <xf numFmtId="0" fontId="14" fillId="0" borderId="0" xfId="3" applyFont="1" applyAlignment="1">
      <alignment vertical="top" wrapText="1"/>
    </xf>
    <xf numFmtId="0" fontId="16" fillId="3" borderId="0" xfId="3" applyFont="1" applyFill="1"/>
    <xf numFmtId="0" fontId="14" fillId="3" borderId="0" xfId="3" applyFont="1" applyFill="1"/>
    <xf numFmtId="165" fontId="16" fillId="3" borderId="0" xfId="4" applyNumberFormat="1" applyFont="1" applyFill="1" applyAlignment="1"/>
    <xf numFmtId="165" fontId="16" fillId="0" borderId="0" xfId="4" applyNumberFormat="1" applyFont="1" applyFill="1" applyBorder="1" applyAlignment="1"/>
    <xf numFmtId="165" fontId="14" fillId="0" borderId="0" xfId="4" applyNumberFormat="1" applyFont="1" applyFill="1" applyBorder="1" applyAlignment="1"/>
    <xf numFmtId="0" fontId="16" fillId="3" borderId="0" xfId="3" applyFont="1" applyFill="1" applyAlignment="1"/>
    <xf numFmtId="0" fontId="14" fillId="0" borderId="0" xfId="3" applyFont="1" applyFill="1" applyAlignment="1"/>
    <xf numFmtId="0" fontId="16" fillId="0" borderId="0" xfId="3" applyFont="1" applyFill="1"/>
    <xf numFmtId="165" fontId="14" fillId="0" borderId="0" xfId="3" applyNumberFormat="1" applyFont="1" applyFill="1" applyBorder="1" applyAlignment="1"/>
    <xf numFmtId="0" fontId="17" fillId="0" borderId="0" xfId="3" applyFont="1" applyAlignment="1">
      <alignment horizontal="left" indent="1"/>
    </xf>
    <xf numFmtId="0" fontId="17" fillId="0" borderId="0" xfId="3" applyFont="1" applyFill="1"/>
    <xf numFmtId="165" fontId="17" fillId="0" borderId="0" xfId="4" applyNumberFormat="1" applyFont="1" applyFill="1" applyBorder="1" applyAlignment="1"/>
    <xf numFmtId="0" fontId="17" fillId="0" borderId="0" xfId="3" applyFont="1" applyAlignment="1"/>
    <xf numFmtId="0" fontId="14" fillId="0" borderId="0" xfId="3" applyFont="1" applyAlignment="1"/>
    <xf numFmtId="3" fontId="14" fillId="0" borderId="0" xfId="3" applyNumberFormat="1" applyFont="1" applyAlignment="1"/>
    <xf numFmtId="3" fontId="14" fillId="0" borderId="0" xfId="3" applyNumberFormat="1" applyFont="1" applyFill="1" applyBorder="1" applyAlignment="1"/>
    <xf numFmtId="166" fontId="14" fillId="0" borderId="0" xfId="4" applyNumberFormat="1" applyFont="1" applyFill="1" applyBorder="1" applyAlignment="1"/>
    <xf numFmtId="0" fontId="16" fillId="0" borderId="0" xfId="3" applyFont="1" applyFill="1" applyAlignment="1"/>
    <xf numFmtId="165" fontId="18" fillId="0" borderId="0" xfId="4" applyNumberFormat="1" applyFont="1" applyFill="1" applyAlignment="1"/>
    <xf numFmtId="3" fontId="19" fillId="0" borderId="0" xfId="3" applyNumberFormat="1" applyFont="1" applyAlignment="1"/>
    <xf numFmtId="0" fontId="19" fillId="0" borderId="0" xfId="3" applyFont="1" applyAlignment="1"/>
    <xf numFmtId="3" fontId="14" fillId="0" borderId="0" xfId="3" applyNumberFormat="1" applyFont="1" applyFill="1" applyAlignment="1"/>
    <xf numFmtId="14" fontId="14" fillId="0" borderId="0" xfId="3" applyNumberFormat="1" applyFont="1" applyFill="1" applyAlignment="1"/>
    <xf numFmtId="0" fontId="7" fillId="0" borderId="0" xfId="3" applyFont="1" applyFill="1"/>
    <xf numFmtId="14" fontId="14" fillId="3" borderId="0" xfId="3" applyNumberFormat="1" applyFont="1" applyFill="1" applyAlignment="1">
      <alignment horizontal="center"/>
    </xf>
    <xf numFmtId="0" fontId="14" fillId="0" borderId="0" xfId="3" applyFont="1" applyFill="1" applyBorder="1"/>
    <xf numFmtId="0" fontId="4" fillId="0" borderId="0" xfId="0" applyFont="1" applyAlignment="1">
      <alignment vertical="center"/>
    </xf>
    <xf numFmtId="0" fontId="15" fillId="3" borderId="0" xfId="0" applyFont="1" applyFill="1"/>
    <xf numFmtId="0" fontId="15" fillId="0" borderId="0" xfId="0" applyFont="1" applyFill="1"/>
    <xf numFmtId="0" fontId="21" fillId="0" borderId="0" xfId="3" applyFont="1" applyFill="1"/>
    <xf numFmtId="0" fontId="17" fillId="0" borderId="0" xfId="3" applyFont="1"/>
    <xf numFmtId="0" fontId="11" fillId="0" borderId="0" xfId="0" applyFont="1"/>
    <xf numFmtId="0" fontId="4" fillId="4" borderId="0" xfId="0" applyFont="1" applyFill="1"/>
    <xf numFmtId="0" fontId="0" fillId="0" borderId="0" xfId="0" applyBorder="1"/>
    <xf numFmtId="0" fontId="4" fillId="0" borderId="0" xfId="0" applyFont="1" applyBorder="1" applyAlignment="1"/>
    <xf numFmtId="0" fontId="15" fillId="0" borderId="0" xfId="0" applyFont="1"/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Fill="1" applyBorder="1" applyAlignment="1"/>
    <xf numFmtId="14" fontId="12" fillId="0" borderId="0" xfId="0" applyNumberFormat="1" applyFont="1" applyFill="1" applyBorder="1"/>
    <xf numFmtId="0" fontId="4" fillId="0" borderId="0" xfId="0" applyFont="1" applyFill="1" applyBorder="1" applyAlignment="1">
      <alignment vertical="center" wrapText="1"/>
    </xf>
    <xf numFmtId="0" fontId="15" fillId="4" borderId="0" xfId="0" applyNumberFormat="1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4" fillId="0" borderId="0" xfId="0" applyFont="1" applyAlignment="1">
      <alignment horizontal="right"/>
    </xf>
    <xf numFmtId="0" fontId="7" fillId="0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/>
    <xf numFmtId="0" fontId="4" fillId="6" borderId="0" xfId="0" applyFont="1" applyFill="1"/>
    <xf numFmtId="0" fontId="4" fillId="7" borderId="1" xfId="0" applyFont="1" applyFill="1" applyBorder="1"/>
    <xf numFmtId="0" fontId="4" fillId="3" borderId="1" xfId="0" applyFont="1" applyFill="1" applyBorder="1" applyAlignment="1">
      <alignment horizontal="left"/>
    </xf>
    <xf numFmtId="0" fontId="11" fillId="6" borderId="0" xfId="0" applyFont="1" applyFill="1"/>
    <xf numFmtId="49" fontId="4" fillId="0" borderId="0" xfId="0" applyNumberFormat="1" applyFont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10" fillId="0" borderId="0" xfId="0" applyFont="1" applyFill="1"/>
    <xf numFmtId="0" fontId="4" fillId="4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top" wrapText="1"/>
    </xf>
    <xf numFmtId="0" fontId="5" fillId="4" borderId="0" xfId="0" applyFont="1" applyFill="1"/>
    <xf numFmtId="14" fontId="5" fillId="4" borderId="0" xfId="0" applyNumberFormat="1" applyFont="1" applyFill="1" applyBorder="1" applyAlignment="1"/>
    <xf numFmtId="0" fontId="4" fillId="0" borderId="1" xfId="0" applyFont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quotePrefix="1" applyFont="1" applyFill="1" applyAlignment="1">
      <alignment vertical="center" wrapText="1"/>
    </xf>
    <xf numFmtId="0" fontId="4" fillId="0" borderId="0" xfId="0" quotePrefix="1" applyFont="1" applyFill="1" applyAlignment="1">
      <alignment horizontal="left" vertical="top" indent="1"/>
    </xf>
    <xf numFmtId="0" fontId="5" fillId="0" borderId="0" xfId="0" applyFont="1" applyFill="1" applyBorder="1" applyAlignment="1">
      <alignment horizontal="left" indent="1"/>
    </xf>
    <xf numFmtId="16" fontId="4" fillId="0" borderId="0" xfId="0" quotePrefix="1" applyNumberFormat="1" applyFont="1" applyFill="1" applyAlignment="1">
      <alignment horizontal="left" vertical="center" indent="1"/>
    </xf>
    <xf numFmtId="0" fontId="14" fillId="0" borderId="0" xfId="0" applyFont="1" applyFill="1" applyBorder="1" applyAlignment="1">
      <alignment horizontal="right" vertical="center" wrapText="1"/>
    </xf>
    <xf numFmtId="0" fontId="15" fillId="0" borderId="0" xfId="0" quotePrefix="1" applyFont="1" applyFill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right" vertical="top" wrapText="1"/>
    </xf>
    <xf numFmtId="0" fontId="11" fillId="6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7" xfId="0" applyFont="1" applyBorder="1" applyAlignment="1">
      <alignment horizontal="right"/>
    </xf>
    <xf numFmtId="0" fontId="4" fillId="0" borderId="1" xfId="0" applyFont="1" applyBorder="1" applyAlignment="1">
      <alignment horizontal="left" indent="1"/>
    </xf>
    <xf numFmtId="0" fontId="7" fillId="0" borderId="1" xfId="0" applyFont="1" applyFill="1" applyBorder="1" applyAlignment="1">
      <alignment horizontal="left" vertical="center" wrapText="1"/>
    </xf>
    <xf numFmtId="0" fontId="7" fillId="0" borderId="0" xfId="3" applyFont="1" applyFill="1" applyAlignment="1" applyProtection="1">
      <alignment horizontal="left" indent="1"/>
      <protection locked="0"/>
    </xf>
    <xf numFmtId="0" fontId="5" fillId="4" borderId="0" xfId="0" applyFont="1" applyFill="1" applyBorder="1" applyAlignment="1"/>
    <xf numFmtId="0" fontId="4" fillId="4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vertical="center" wrapText="1"/>
    </xf>
    <xf numFmtId="14" fontId="14" fillId="7" borderId="0" xfId="3" applyNumberFormat="1" applyFont="1" applyFill="1" applyAlignment="1">
      <alignment horizontal="center"/>
    </xf>
    <xf numFmtId="0" fontId="15" fillId="7" borderId="0" xfId="0" applyFont="1" applyFill="1"/>
    <xf numFmtId="165" fontId="2" fillId="7" borderId="0" xfId="4" applyNumberFormat="1" applyFont="1" applyFill="1" applyAlignment="1"/>
    <xf numFmtId="165" fontId="14" fillId="7" borderId="0" xfId="4" applyNumberFormat="1" applyFont="1" applyFill="1" applyAlignment="1"/>
    <xf numFmtId="0" fontId="5" fillId="4" borderId="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left" vertical="center" indent="1"/>
    </xf>
    <xf numFmtId="0" fontId="10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/>
    <xf numFmtId="3" fontId="10" fillId="5" borderId="2" xfId="0" applyNumberFormat="1" applyFont="1" applyFill="1" applyBorder="1" applyAlignment="1">
      <alignment horizontal="right"/>
    </xf>
    <xf numFmtId="3" fontId="24" fillId="5" borderId="12" xfId="0" applyNumberFormat="1" applyFont="1" applyFill="1" applyBorder="1" applyAlignment="1">
      <alignment horizontal="left"/>
    </xf>
    <xf numFmtId="0" fontId="5" fillId="4" borderId="11" xfId="0" applyFont="1" applyFill="1" applyBorder="1" applyAlignment="1">
      <alignment vertical="center" wrapText="1"/>
    </xf>
    <xf numFmtId="0" fontId="5" fillId="3" borderId="0" xfId="0" applyFont="1" applyFill="1" applyBorder="1" applyAlignment="1" applyProtection="1">
      <alignment horizontal="left" indent="1"/>
      <protection locked="0"/>
    </xf>
    <xf numFmtId="0" fontId="4" fillId="3" borderId="0" xfId="0" applyFont="1" applyFill="1" applyBorder="1" applyProtection="1">
      <protection locked="0"/>
    </xf>
    <xf numFmtId="0" fontId="15" fillId="3" borderId="0" xfId="0" applyFont="1" applyFill="1" applyBorder="1"/>
    <xf numFmtId="0" fontId="4" fillId="0" borderId="0" xfId="0" applyFont="1" applyFill="1" applyBorder="1" applyAlignment="1"/>
    <xf numFmtId="0" fontId="10" fillId="6" borderId="0" xfId="0" applyFont="1" applyFill="1" applyAlignment="1">
      <alignment horizontal="left" vertical="center" indent="1"/>
    </xf>
    <xf numFmtId="0" fontId="11" fillId="6" borderId="0" xfId="0" applyFont="1" applyFill="1" applyAlignment="1">
      <alignment vertical="center"/>
    </xf>
    <xf numFmtId="0" fontId="15" fillId="0" borderId="7" xfId="0" applyFont="1" applyFill="1" applyBorder="1" applyAlignment="1">
      <alignment horizontal="right"/>
    </xf>
    <xf numFmtId="0" fontId="7" fillId="0" borderId="11" xfId="3" applyFont="1" applyFill="1" applyBorder="1" applyAlignment="1" applyProtection="1">
      <alignment vertical="center"/>
      <protection locked="0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/>
    </xf>
    <xf numFmtId="0" fontId="25" fillId="4" borderId="0" xfId="0" applyFont="1" applyFill="1"/>
    <xf numFmtId="0" fontId="9" fillId="4" borderId="0" xfId="0" applyFont="1" applyFill="1"/>
    <xf numFmtId="0" fontId="9" fillId="4" borderId="0" xfId="0" applyFont="1" applyFill="1" applyBorder="1"/>
    <xf numFmtId="0" fontId="9" fillId="4" borderId="13" xfId="0" applyFont="1" applyFill="1" applyBorder="1"/>
    <xf numFmtId="0" fontId="9" fillId="4" borderId="14" xfId="0" applyFont="1" applyFill="1" applyBorder="1"/>
    <xf numFmtId="0" fontId="9" fillId="4" borderId="15" xfId="0" applyFont="1" applyFill="1" applyBorder="1"/>
    <xf numFmtId="0" fontId="9" fillId="4" borderId="16" xfId="0" applyFont="1" applyFill="1" applyBorder="1"/>
    <xf numFmtId="0" fontId="9" fillId="4" borderId="17" xfId="0" applyFont="1" applyFill="1" applyBorder="1"/>
    <xf numFmtId="0" fontId="9" fillId="4" borderId="18" xfId="0" applyFont="1" applyFill="1" applyBorder="1"/>
    <xf numFmtId="0" fontId="9" fillId="4" borderId="19" xfId="0" applyFont="1" applyFill="1" applyBorder="1"/>
    <xf numFmtId="0" fontId="9" fillId="4" borderId="20" xfId="0" applyFont="1" applyFill="1" applyBorder="1"/>
    <xf numFmtId="3" fontId="9" fillId="4" borderId="15" xfId="0" applyNumberFormat="1" applyFont="1" applyFill="1" applyBorder="1"/>
    <xf numFmtId="14" fontId="4" fillId="7" borderId="1" xfId="0" applyNumberFormat="1" applyFont="1" applyFill="1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left"/>
    </xf>
    <xf numFmtId="0" fontId="22" fillId="0" borderId="9" xfId="0" applyFont="1" applyBorder="1"/>
    <xf numFmtId="0" fontId="22" fillId="0" borderId="9" xfId="0" applyFont="1" applyBorder="1" applyAlignment="1">
      <alignment wrapText="1"/>
    </xf>
    <xf numFmtId="0" fontId="10" fillId="6" borderId="0" xfId="0" applyFont="1" applyFill="1" applyBorder="1" applyAlignment="1">
      <alignment horizontal="left" vertical="center" indent="1"/>
    </xf>
    <xf numFmtId="0" fontId="15" fillId="0" borderId="6" xfId="0" applyFont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4" fillId="4" borderId="4" xfId="0" applyFont="1" applyFill="1" applyBorder="1"/>
    <xf numFmtId="0" fontId="15" fillId="0" borderId="4" xfId="0" applyFont="1" applyBorder="1" applyAlignment="1">
      <alignment horizontal="center"/>
    </xf>
    <xf numFmtId="167" fontId="15" fillId="7" borderId="4" xfId="1" applyNumberFormat="1" applyFont="1" applyFill="1" applyBorder="1" applyAlignment="1">
      <alignment horizontal="left" vertical="center"/>
    </xf>
    <xf numFmtId="0" fontId="22" fillId="3" borderId="21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3" fontId="22" fillId="3" borderId="9" xfId="0" applyNumberFormat="1" applyFont="1" applyFill="1" applyBorder="1" applyAlignment="1">
      <alignment horizontal="center" vertical="center" wrapText="1"/>
    </xf>
    <xf numFmtId="3" fontId="22" fillId="3" borderId="25" xfId="0" applyNumberFormat="1" applyFont="1" applyFill="1" applyBorder="1" applyAlignment="1">
      <alignment horizontal="center" vertical="center" wrapText="1"/>
    </xf>
    <xf numFmtId="167" fontId="22" fillId="7" borderId="9" xfId="0" applyNumberFormat="1" applyFont="1" applyFill="1" applyBorder="1" applyAlignment="1">
      <alignment horizontal="center" vertical="center" wrapText="1"/>
    </xf>
    <xf numFmtId="167" fontId="22" fillId="7" borderId="2" xfId="0" applyNumberFormat="1" applyFont="1" applyFill="1" applyBorder="1" applyAlignment="1">
      <alignment horizontal="center" vertical="center" wrapText="1"/>
    </xf>
    <xf numFmtId="3" fontId="22" fillId="7" borderId="9" xfId="0" applyNumberFormat="1" applyFont="1" applyFill="1" applyBorder="1" applyAlignment="1">
      <alignment horizontal="center" vertical="center" wrapText="1"/>
    </xf>
    <xf numFmtId="3" fontId="22" fillId="7" borderId="2" xfId="0" applyNumberFormat="1" applyFont="1" applyFill="1" applyBorder="1" applyAlignment="1">
      <alignment horizontal="center" vertical="center" wrapText="1"/>
    </xf>
    <xf numFmtId="167" fontId="22" fillId="7" borderId="21" xfId="0" applyNumberFormat="1" applyFont="1" applyFill="1" applyBorder="1" applyAlignment="1">
      <alignment horizontal="center" vertical="center" wrapText="1"/>
    </xf>
    <xf numFmtId="3" fontId="22" fillId="7" borderId="2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49" fontId="22" fillId="0" borderId="10" xfId="0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 applyBorder="1" applyAlignment="1">
      <alignment horizontal="center" vertical="center" wrapText="1"/>
    </xf>
    <xf numFmtId="0" fontId="9" fillId="4" borderId="31" xfId="0" applyFont="1" applyFill="1" applyBorder="1"/>
    <xf numFmtId="0" fontId="9" fillId="4" borderId="32" xfId="0" applyFont="1" applyFill="1" applyBorder="1"/>
    <xf numFmtId="0" fontId="22" fillId="0" borderId="0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3" fontId="22" fillId="8" borderId="2" xfId="0" applyNumberFormat="1" applyFont="1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/>
    </xf>
    <xf numFmtId="3" fontId="22" fillId="8" borderId="30" xfId="0" applyNumberFormat="1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horizontal="center" vertical="center" wrapText="1"/>
    </xf>
    <xf numFmtId="167" fontId="22" fillId="8" borderId="18" xfId="0" applyNumberFormat="1" applyFont="1" applyFill="1" applyBorder="1" applyAlignment="1">
      <alignment horizontal="center" vertical="center" wrapText="1"/>
    </xf>
    <xf numFmtId="167" fontId="22" fillId="8" borderId="5" xfId="0" applyNumberFormat="1" applyFont="1" applyFill="1" applyBorder="1" applyAlignment="1">
      <alignment horizontal="center" vertical="center" wrapText="1"/>
    </xf>
    <xf numFmtId="167" fontId="22" fillId="8" borderId="19" xfId="0" applyNumberFormat="1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3" fontId="14" fillId="7" borderId="4" xfId="3" applyNumberFormat="1" applyFont="1" applyFill="1" applyBorder="1" applyAlignment="1" applyProtection="1">
      <alignment horizontal="left" vertical="center"/>
      <protection locked="0"/>
    </xf>
    <xf numFmtId="3" fontId="14" fillId="7" borderId="5" xfId="3" applyNumberFormat="1" applyFont="1" applyFill="1" applyBorder="1" applyAlignment="1" applyProtection="1">
      <alignment horizontal="left" vertical="center"/>
      <protection locked="0"/>
    </xf>
    <xf numFmtId="0" fontId="4" fillId="4" borderId="3" xfId="0" applyFont="1" applyFill="1" applyBorder="1" applyAlignment="1">
      <alignment vertical="center"/>
    </xf>
    <xf numFmtId="0" fontId="15" fillId="0" borderId="7" xfId="0" applyFont="1" applyBorder="1" applyAlignment="1">
      <alignment vertical="center"/>
    </xf>
    <xf numFmtId="167" fontId="15" fillId="3" borderId="0" xfId="1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0" fillId="3" borderId="9" xfId="0" applyFill="1" applyBorder="1"/>
    <xf numFmtId="0" fontId="0" fillId="0" borderId="33" xfId="0" applyBorder="1" applyAlignment="1">
      <alignment horizontal="center"/>
    </xf>
    <xf numFmtId="3" fontId="22" fillId="8" borderId="9" xfId="0" applyNumberFormat="1" applyFont="1" applyFill="1" applyBorder="1" applyAlignment="1">
      <alignment horizontal="center" vertical="center" wrapText="1"/>
    </xf>
    <xf numFmtId="0" fontId="0" fillId="7" borderId="33" xfId="0" applyFill="1" applyBorder="1"/>
    <xf numFmtId="0" fontId="0" fillId="0" borderId="2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34" xfId="0" applyBorder="1" applyAlignment="1">
      <alignment horizontal="center"/>
    </xf>
    <xf numFmtId="0" fontId="0" fillId="0" borderId="18" xfId="0" applyBorder="1"/>
    <xf numFmtId="0" fontId="0" fillId="7" borderId="34" xfId="0" applyFill="1" applyBorder="1"/>
    <xf numFmtId="0" fontId="0" fillId="3" borderId="25" xfId="0" applyFill="1" applyBorder="1"/>
    <xf numFmtId="3" fontId="22" fillId="8" borderId="25" xfId="0" applyNumberFormat="1" applyFont="1" applyFill="1" applyBorder="1" applyAlignment="1">
      <alignment horizontal="center" vertical="center" wrapText="1"/>
    </xf>
    <xf numFmtId="0" fontId="0" fillId="3" borderId="23" xfId="0" applyFill="1" applyBorder="1"/>
    <xf numFmtId="0" fontId="0" fillId="3" borderId="35" xfId="0" applyFill="1" applyBorder="1"/>
    <xf numFmtId="0" fontId="4" fillId="0" borderId="0" xfId="0" applyFont="1" applyFill="1" applyBorder="1" applyAlignment="1">
      <alignment horizontal="left" vertical="center" wrapText="1"/>
    </xf>
    <xf numFmtId="165" fontId="14" fillId="7" borderId="0" xfId="3" applyNumberFormat="1" applyFont="1" applyFill="1" applyAlignment="1"/>
    <xf numFmtId="165" fontId="17" fillId="7" borderId="0" xfId="4" applyNumberFormat="1" applyFont="1" applyFill="1" applyAlignment="1"/>
    <xf numFmtId="165" fontId="14" fillId="7" borderId="0" xfId="3" applyNumberFormat="1" applyFont="1" applyFill="1"/>
    <xf numFmtId="0" fontId="0" fillId="0" borderId="9" xfId="0" applyFont="1" applyBorder="1"/>
    <xf numFmtId="49" fontId="22" fillId="0" borderId="0" xfId="0" applyNumberFormat="1" applyFont="1" applyFill="1" applyBorder="1" applyAlignment="1">
      <alignment horizontal="left" vertical="center" wrapText="1"/>
    </xf>
    <xf numFmtId="0" fontId="22" fillId="0" borderId="0" xfId="0" applyFont="1"/>
    <xf numFmtId="3" fontId="22" fillId="3" borderId="23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horizontal="center" vertical="center" wrapText="1"/>
    </xf>
    <xf numFmtId="3" fontId="22" fillId="3" borderId="35" xfId="0" applyNumberFormat="1" applyFont="1" applyFill="1" applyBorder="1" applyAlignment="1">
      <alignment horizontal="center" vertical="center" wrapText="1"/>
    </xf>
    <xf numFmtId="3" fontId="22" fillId="3" borderId="36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indent="1"/>
    </xf>
    <xf numFmtId="0" fontId="11" fillId="5" borderId="8" xfId="0" applyFont="1" applyFill="1" applyBorder="1" applyAlignment="1">
      <alignment horizontal="left" indent="1"/>
    </xf>
    <xf numFmtId="0" fontId="7" fillId="4" borderId="5" xfId="3" applyFont="1" applyFill="1" applyBorder="1" applyAlignment="1" applyProtection="1">
      <alignment horizontal="left" indent="1"/>
      <protection locked="0"/>
    </xf>
    <xf numFmtId="0" fontId="4" fillId="0" borderId="1" xfId="0" applyFont="1" applyBorder="1"/>
    <xf numFmtId="0" fontId="4" fillId="0" borderId="6" xfId="0" applyFont="1" applyBorder="1"/>
    <xf numFmtId="0" fontId="10" fillId="4" borderId="4" xfId="0" applyFont="1" applyFill="1" applyBorder="1" applyAlignment="1">
      <alignment horizontal="left" indent="1"/>
    </xf>
    <xf numFmtId="0" fontId="11" fillId="4" borderId="0" xfId="0" applyFont="1" applyFill="1" applyBorder="1" applyAlignment="1">
      <alignment horizontal="left" indent="1"/>
    </xf>
    <xf numFmtId="0" fontId="7" fillId="4" borderId="2" xfId="0" applyFont="1" applyFill="1" applyBorder="1" applyAlignment="1">
      <alignment horizontal="left" vertical="center" indent="1"/>
    </xf>
    <xf numFmtId="0" fontId="7" fillId="4" borderId="2" xfId="3" applyFont="1" applyFill="1" applyBorder="1" applyAlignment="1" applyProtection="1">
      <alignment horizontal="left" indent="1"/>
      <protection locked="0"/>
    </xf>
    <xf numFmtId="0" fontId="4" fillId="4" borderId="1" xfId="0" applyFont="1" applyFill="1" applyBorder="1"/>
    <xf numFmtId="3" fontId="20" fillId="4" borderId="0" xfId="0" applyNumberFormat="1" applyFont="1" applyFill="1" applyBorder="1" applyAlignment="1">
      <alignment horizontal="left"/>
    </xf>
    <xf numFmtId="0" fontId="4" fillId="4" borderId="0" xfId="0" applyFont="1" applyFill="1" applyBorder="1"/>
    <xf numFmtId="0" fontId="11" fillId="4" borderId="0" xfId="0" applyFont="1" applyFill="1" applyBorder="1"/>
    <xf numFmtId="0" fontId="4" fillId="4" borderId="11" xfId="0" applyFont="1" applyFill="1" applyBorder="1"/>
    <xf numFmtId="0" fontId="7" fillId="4" borderId="0" xfId="3" applyFont="1" applyFill="1" applyBorder="1" applyAlignment="1" applyProtection="1">
      <alignment horizontal="left" indent="1"/>
      <protection locked="0"/>
    </xf>
    <xf numFmtId="3" fontId="15" fillId="3" borderId="7" xfId="0" applyNumberFormat="1" applyFont="1" applyFill="1" applyBorder="1" applyAlignment="1">
      <alignment horizontal="center" vertical="center"/>
    </xf>
    <xf numFmtId="3" fontId="15" fillId="3" borderId="6" xfId="0" applyNumberFormat="1" applyFont="1" applyFill="1" applyBorder="1" applyAlignment="1">
      <alignment horizontal="center" vertical="center"/>
    </xf>
    <xf numFmtId="3" fontId="15" fillId="3" borderId="0" xfId="0" applyNumberFormat="1" applyFont="1" applyFill="1" applyBorder="1" applyAlignment="1">
      <alignment horizontal="center" vertical="center"/>
    </xf>
    <xf numFmtId="3" fontId="15" fillId="0" borderId="0" xfId="0" applyNumberFormat="1" applyFont="1" applyBorder="1" applyAlignment="1">
      <alignment horizontal="right"/>
    </xf>
    <xf numFmtId="4" fontId="14" fillId="3" borderId="0" xfId="3" applyNumberFormat="1" applyFont="1" applyFill="1" applyAlignment="1">
      <alignment horizontal="right"/>
    </xf>
    <xf numFmtId="165" fontId="14" fillId="3" borderId="0" xfId="4" applyNumberFormat="1" applyFont="1" applyFill="1" applyAlignment="1"/>
    <xf numFmtId="3" fontId="22" fillId="3" borderId="11" xfId="0" applyNumberFormat="1" applyFont="1" applyFill="1" applyBorder="1" applyAlignment="1">
      <alignment horizontal="center" vertical="center" wrapText="1"/>
    </xf>
    <xf numFmtId="0" fontId="0" fillId="3" borderId="38" xfId="0" applyFill="1" applyBorder="1"/>
    <xf numFmtId="0" fontId="26" fillId="0" borderId="0" xfId="0" applyFont="1" applyAlignment="1">
      <alignment vertical="center"/>
    </xf>
    <xf numFmtId="0" fontId="14" fillId="0" borderId="0" xfId="3" applyFont="1" applyFill="1" applyAlignment="1">
      <alignment vertical="center"/>
    </xf>
    <xf numFmtId="0" fontId="17" fillId="0" borderId="0" xfId="3" applyFont="1" applyFill="1" applyAlignment="1">
      <alignment vertical="center"/>
    </xf>
    <xf numFmtId="0" fontId="14" fillId="0" borderId="0" xfId="3" applyFont="1" applyAlignment="1">
      <alignment vertical="center"/>
    </xf>
    <xf numFmtId="0" fontId="16" fillId="3" borderId="0" xfId="3" applyFont="1" applyFill="1" applyAlignment="1">
      <alignment vertical="center"/>
    </xf>
    <xf numFmtId="0" fontId="16" fillId="0" borderId="0" xfId="3" applyFont="1" applyFill="1" applyAlignment="1">
      <alignment vertical="center"/>
    </xf>
    <xf numFmtId="0" fontId="14" fillId="0" borderId="0" xfId="3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27" fillId="0" borderId="0" xfId="3" applyFont="1"/>
    <xf numFmtId="0" fontId="5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vertical="center" wrapText="1"/>
    </xf>
    <xf numFmtId="3" fontId="24" fillId="5" borderId="11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top" indent="1"/>
    </xf>
    <xf numFmtId="16" fontId="4" fillId="0" borderId="1" xfId="0" quotePrefix="1" applyNumberFormat="1" applyFont="1" applyFill="1" applyBorder="1" applyAlignment="1">
      <alignment horizontal="left" vertical="center" indent="1"/>
    </xf>
    <xf numFmtId="14" fontId="5" fillId="0" borderId="0" xfId="0" applyNumberFormat="1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2" fontId="8" fillId="3" borderId="0" xfId="0" applyNumberFormat="1" applyFont="1" applyFill="1"/>
    <xf numFmtId="167" fontId="15" fillId="3" borderId="5" xfId="1" applyNumberFormat="1" applyFont="1" applyFill="1" applyBorder="1" applyAlignment="1">
      <alignment horizontal="right" vertical="center"/>
    </xf>
    <xf numFmtId="167" fontId="15" fillId="3" borderId="1" xfId="1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/>
    <xf numFmtId="0" fontId="15" fillId="0" borderId="1" xfId="0" applyFont="1" applyBorder="1" applyAlignment="1">
      <alignment horizontal="right"/>
    </xf>
    <xf numFmtId="3" fontId="15" fillId="3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1" fontId="8" fillId="3" borderId="0" xfId="0" applyNumberFormat="1" applyFont="1" applyFill="1"/>
    <xf numFmtId="2" fontId="8" fillId="0" borderId="0" xfId="0" applyNumberFormat="1" applyFont="1"/>
    <xf numFmtId="168" fontId="8" fillId="0" borderId="0" xfId="0" applyNumberFormat="1" applyFont="1"/>
    <xf numFmtId="1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" fontId="15" fillId="3" borderId="4" xfId="1" applyNumberFormat="1" applyFont="1" applyFill="1" applyBorder="1" applyAlignment="1">
      <alignment horizontal="left" vertical="center" wrapText="1"/>
    </xf>
    <xf numFmtId="0" fontId="4" fillId="0" borderId="0" xfId="0" quotePrefix="1" applyFont="1" applyFill="1" applyBorder="1" applyAlignment="1">
      <alignment horizontal="left" vertical="top" indent="1"/>
    </xf>
    <xf numFmtId="0" fontId="0" fillId="0" borderId="9" xfId="0" applyFill="1" applyBorder="1" applyAlignment="1">
      <alignment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9" xfId="0" applyFont="1" applyFill="1" applyBorder="1"/>
    <xf numFmtId="0" fontId="15" fillId="0" borderId="0" xfId="0" applyFont="1" applyBorder="1" applyAlignment="1">
      <alignment vertic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15" fillId="0" borderId="6" xfId="0" quotePrefix="1" applyFont="1" applyFill="1" applyBorder="1" applyAlignment="1">
      <alignment vertical="center" wrapText="1"/>
    </xf>
    <xf numFmtId="14" fontId="5" fillId="0" borderId="4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11" xfId="0" applyFont="1" applyBorder="1"/>
    <xf numFmtId="0" fontId="28" fillId="0" borderId="11" xfId="3" applyFont="1" applyFill="1" applyBorder="1" applyAlignment="1" applyProtection="1">
      <alignment horizontal="left" vertical="center" indent="1"/>
      <protection locked="0"/>
    </xf>
    <xf numFmtId="0" fontId="28" fillId="0" borderId="1" xfId="3" applyFont="1" applyFill="1" applyBorder="1" applyAlignment="1" applyProtection="1">
      <alignment horizontal="left" vertical="center" indent="1"/>
      <protection locked="0"/>
    </xf>
    <xf numFmtId="0" fontId="4" fillId="7" borderId="0" xfId="0" applyFont="1" applyFill="1" applyBorder="1" applyAlignment="1" applyProtection="1">
      <protection locked="0"/>
    </xf>
    <xf numFmtId="167" fontId="15" fillId="3" borderId="3" xfId="1" applyNumberFormat="1" applyFont="1" applyFill="1" applyBorder="1" applyAlignment="1">
      <alignment horizontal="right" vertical="center"/>
    </xf>
    <xf numFmtId="167" fontId="15" fillId="3" borderId="4" xfId="1" applyNumberFormat="1" applyFont="1" applyFill="1" applyBorder="1" applyAlignment="1">
      <alignment horizontal="right" vertical="center"/>
    </xf>
    <xf numFmtId="0" fontId="14" fillId="0" borderId="6" xfId="0" applyFont="1" applyFill="1" applyBorder="1" applyAlignment="1">
      <alignment horizontal="right" vertical="center" wrapText="1"/>
    </xf>
    <xf numFmtId="0" fontId="5" fillId="0" borderId="0" xfId="0" applyFont="1" applyBorder="1" applyAlignment="1">
      <alignment vertical="top"/>
    </xf>
    <xf numFmtId="3" fontId="15" fillId="3" borderId="3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vertical="center" wrapText="1"/>
    </xf>
    <xf numFmtId="14" fontId="5" fillId="0" borderId="0" xfId="0" applyNumberFormat="1" applyFont="1" applyFill="1" applyBorder="1" applyAlignment="1">
      <alignment wrapText="1"/>
    </xf>
    <xf numFmtId="0" fontId="7" fillId="0" borderId="1" xfId="3" applyFont="1" applyFill="1" applyBorder="1" applyAlignment="1" applyProtection="1">
      <alignment vertical="center"/>
      <protection locked="0"/>
    </xf>
    <xf numFmtId="0" fontId="4" fillId="0" borderId="12" xfId="0" applyFont="1" applyBorder="1"/>
    <xf numFmtId="0" fontId="9" fillId="0" borderId="0" xfId="0" applyFont="1" applyAlignment="1">
      <alignment horizontal="left" indent="1"/>
    </xf>
    <xf numFmtId="0" fontId="9" fillId="0" borderId="11" xfId="0" applyFont="1" applyBorder="1" applyAlignment="1">
      <alignment horizontal="left" indent="1"/>
    </xf>
    <xf numFmtId="9" fontId="5" fillId="0" borderId="8" xfId="2" applyFont="1" applyFill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5" fillId="0" borderId="0" xfId="0" applyNumberFormat="1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/>
    </xf>
    <xf numFmtId="3" fontId="15" fillId="4" borderId="11" xfId="0" applyNumberFormat="1" applyFont="1" applyFill="1" applyBorder="1" applyAlignment="1">
      <alignment horizontal="right" indent="1"/>
    </xf>
    <xf numFmtId="167" fontId="15" fillId="4" borderId="1" xfId="0" applyNumberFormat="1" applyFont="1" applyFill="1" applyBorder="1" applyAlignment="1">
      <alignment horizontal="right" indent="1"/>
    </xf>
    <xf numFmtId="3" fontId="15" fillId="3" borderId="0" xfId="1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5" fillId="0" borderId="0" xfId="0" applyFont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/>
    <xf numFmtId="3" fontId="15" fillId="3" borderId="5" xfId="1" applyNumberFormat="1" applyFont="1" applyFill="1" applyBorder="1" applyAlignment="1">
      <alignment horizontal="left" vertical="center" wrapText="1"/>
    </xf>
    <xf numFmtId="0" fontId="14" fillId="0" borderId="0" xfId="3" applyFont="1" applyBorder="1"/>
    <xf numFmtId="165" fontId="2" fillId="3" borderId="0" xfId="4" applyNumberFormat="1" applyFont="1" applyFill="1" applyBorder="1" applyAlignment="1"/>
    <xf numFmtId="3" fontId="14" fillId="3" borderId="0" xfId="3" applyNumberFormat="1" applyFont="1" applyFill="1" applyAlignment="1">
      <alignment horizontal="right"/>
    </xf>
    <xf numFmtId="0" fontId="0" fillId="0" borderId="33" xfId="0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 wrapText="1"/>
    </xf>
    <xf numFmtId="3" fontId="2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49" fontId="1" fillId="0" borderId="3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left" vertical="center" wrapText="1"/>
    </xf>
    <xf numFmtId="1" fontId="0" fillId="7" borderId="34" xfId="0" applyNumberFormat="1" applyFill="1" applyBorder="1"/>
    <xf numFmtId="1" fontId="0" fillId="7" borderId="33" xfId="0" applyNumberFormat="1" applyFill="1" applyBorder="1"/>
    <xf numFmtId="3" fontId="9" fillId="7" borderId="4" xfId="0" applyNumberFormat="1" applyFont="1" applyFill="1" applyBorder="1" applyAlignment="1">
      <alignment horizontal="center" vertical="center"/>
    </xf>
    <xf numFmtId="0" fontId="4" fillId="0" borderId="0" xfId="0" quotePrefix="1" applyFont="1" applyFill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indent="1"/>
    </xf>
    <xf numFmtId="3" fontId="9" fillId="7" borderId="5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right"/>
    </xf>
    <xf numFmtId="0" fontId="4" fillId="0" borderId="1" xfId="0" quotePrefix="1" applyFont="1" applyFill="1" applyBorder="1" applyAlignment="1">
      <alignment horizontal="left" vertical="top" indent="1"/>
    </xf>
    <xf numFmtId="3" fontId="15" fillId="7" borderId="4" xfId="0" applyNumberFormat="1" applyFont="1" applyFill="1" applyBorder="1" applyAlignment="1">
      <alignment horizontal="center" vertical="center"/>
    </xf>
    <xf numFmtId="3" fontId="15" fillId="7" borderId="5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 wrapText="1"/>
    </xf>
    <xf numFmtId="3" fontId="15" fillId="4" borderId="11" xfId="0" applyNumberFormat="1" applyFont="1" applyFill="1" applyBorder="1" applyAlignment="1">
      <alignment horizontal="right" indent="1"/>
    </xf>
    <xf numFmtId="3" fontId="5" fillId="3" borderId="0" xfId="0" applyNumberFormat="1" applyFont="1" applyFill="1" applyBorder="1" applyAlignment="1">
      <alignment horizontal="center" vertical="center"/>
    </xf>
    <xf numFmtId="3" fontId="15" fillId="3" borderId="4" xfId="1" applyNumberFormat="1" applyFont="1" applyFill="1" applyBorder="1" applyAlignment="1">
      <alignment horizontal="right" vertical="center"/>
    </xf>
    <xf numFmtId="3" fontId="15" fillId="3" borderId="0" xfId="1" applyNumberFormat="1" applyFont="1" applyFill="1" applyBorder="1" applyAlignment="1">
      <alignment horizontal="right" vertical="center"/>
    </xf>
    <xf numFmtId="0" fontId="15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3" applyFont="1" applyFill="1"/>
    <xf numFmtId="0" fontId="15" fillId="0" borderId="0" xfId="3" applyFont="1" applyFill="1" applyAlignment="1"/>
    <xf numFmtId="0" fontId="15" fillId="0" borderId="0" xfId="3" applyFont="1"/>
    <xf numFmtId="0" fontId="14" fillId="7" borderId="0" xfId="3" applyFont="1" applyFill="1"/>
    <xf numFmtId="0" fontId="14" fillId="0" borderId="0" xfId="3" applyFont="1" applyAlignment="1">
      <alignment horizontal="left" indent="1"/>
    </xf>
    <xf numFmtId="4" fontId="15" fillId="3" borderId="5" xfId="1" applyNumberFormat="1" applyFont="1" applyFill="1" applyBorder="1" applyAlignment="1">
      <alignment horizontal="right" vertical="center"/>
    </xf>
    <xf numFmtId="4" fontId="15" fillId="3" borderId="6" xfId="1" applyNumberFormat="1" applyFont="1" applyFill="1" applyBorder="1" applyAlignment="1">
      <alignment horizontal="right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4" fontId="15" fillId="7" borderId="1" xfId="0" applyNumberFormat="1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" fontId="15" fillId="3" borderId="1" xfId="1" applyNumberFormat="1" applyFont="1" applyFill="1" applyBorder="1" applyAlignment="1">
      <alignment horizontal="right" vertical="center"/>
    </xf>
    <xf numFmtId="3" fontId="16" fillId="3" borderId="5" xfId="3" applyNumberFormat="1" applyFont="1" applyFill="1" applyBorder="1" applyAlignment="1" applyProtection="1">
      <alignment horizontal="right" vertical="center"/>
    </xf>
    <xf numFmtId="3" fontId="16" fillId="3" borderId="6" xfId="3" applyNumberFormat="1" applyFont="1" applyFill="1" applyBorder="1" applyAlignment="1" applyProtection="1">
      <alignment horizontal="right" vertical="center"/>
    </xf>
    <xf numFmtId="3" fontId="15" fillId="3" borderId="4" xfId="1" applyNumberFormat="1" applyFont="1" applyFill="1" applyBorder="1" applyAlignment="1">
      <alignment horizontal="right" vertical="center"/>
    </xf>
    <xf numFmtId="3" fontId="15" fillId="3" borderId="7" xfId="1" applyNumberFormat="1" applyFont="1" applyFill="1" applyBorder="1" applyAlignment="1">
      <alignment horizontal="right" vertical="center"/>
    </xf>
    <xf numFmtId="3" fontId="15" fillId="3" borderId="9" xfId="1" applyNumberFormat="1" applyFont="1" applyFill="1" applyBorder="1" applyAlignment="1">
      <alignment horizontal="right" vertical="center"/>
    </xf>
    <xf numFmtId="3" fontId="16" fillId="3" borderId="2" xfId="3" applyNumberFormat="1" applyFont="1" applyFill="1" applyBorder="1" applyAlignment="1" applyProtection="1">
      <alignment horizontal="right" vertical="center"/>
    </xf>
    <xf numFmtId="3" fontId="16" fillId="3" borderId="12" xfId="3" applyNumberFormat="1" applyFont="1" applyFill="1" applyBorder="1" applyAlignment="1" applyProtection="1">
      <alignment horizontal="right" vertical="center"/>
    </xf>
    <xf numFmtId="3" fontId="15" fillId="3" borderId="5" xfId="1" applyNumberFormat="1" applyFont="1" applyFill="1" applyBorder="1" applyAlignment="1">
      <alignment horizontal="right" vertical="center"/>
    </xf>
    <xf numFmtId="3" fontId="15" fillId="3" borderId="6" xfId="1" applyNumberFormat="1" applyFont="1" applyFill="1" applyBorder="1" applyAlignment="1">
      <alignment horizontal="right" vertical="center"/>
    </xf>
    <xf numFmtId="3" fontId="15" fillId="3" borderId="0" xfId="1" applyNumberFormat="1" applyFont="1" applyFill="1" applyBorder="1" applyAlignment="1">
      <alignment horizontal="right" vertical="center"/>
    </xf>
    <xf numFmtId="3" fontId="15" fillId="3" borderId="2" xfId="1" applyNumberFormat="1" applyFont="1" applyFill="1" applyBorder="1" applyAlignment="1">
      <alignment horizontal="right" vertical="center"/>
    </xf>
    <xf numFmtId="14" fontId="5" fillId="4" borderId="0" xfId="0" applyNumberFormat="1" applyFont="1" applyFill="1" applyBorder="1" applyAlignment="1">
      <alignment horizontal="center" wrapText="1"/>
    </xf>
    <xf numFmtId="14" fontId="14" fillId="4" borderId="1" xfId="0" applyNumberFormat="1" applyFont="1" applyFill="1" applyBorder="1" applyAlignment="1">
      <alignment horizontal="right" indent="1"/>
    </xf>
    <xf numFmtId="14" fontId="5" fillId="0" borderId="0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right" vertical="center"/>
    </xf>
    <xf numFmtId="3" fontId="10" fillId="5" borderId="11" xfId="0" applyNumberFormat="1" applyFont="1" applyFill="1" applyBorder="1" applyAlignment="1">
      <alignment horizontal="right" vertical="center"/>
    </xf>
    <xf numFmtId="3" fontId="15" fillId="4" borderId="11" xfId="0" applyNumberFormat="1" applyFont="1" applyFill="1" applyBorder="1" applyAlignment="1">
      <alignment horizontal="right" indent="1"/>
    </xf>
    <xf numFmtId="0" fontId="4" fillId="7" borderId="1" xfId="0" applyFont="1" applyFill="1" applyBorder="1" applyAlignment="1">
      <alignment horizontal="left"/>
    </xf>
    <xf numFmtId="49" fontId="4" fillId="7" borderId="11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Border="1" applyAlignment="1">
      <alignment horizontal="center" vertical="center"/>
    </xf>
    <xf numFmtId="3" fontId="25" fillId="9" borderId="9" xfId="1" applyNumberFormat="1" applyFont="1" applyFill="1" applyBorder="1" applyAlignment="1">
      <alignment horizontal="right" vertical="center"/>
    </xf>
    <xf numFmtId="1" fontId="15" fillId="3" borderId="4" xfId="2" applyNumberFormat="1" applyFont="1" applyFill="1" applyBorder="1" applyAlignment="1">
      <alignment horizontal="right" vertical="center"/>
    </xf>
    <xf numFmtId="1" fontId="15" fillId="3" borderId="7" xfId="2" applyNumberFormat="1" applyFont="1" applyFill="1" applyBorder="1" applyAlignment="1">
      <alignment horizontal="right" vertical="center"/>
    </xf>
    <xf numFmtId="1" fontId="15" fillId="3" borderId="3" xfId="2" applyNumberFormat="1" applyFont="1" applyFill="1" applyBorder="1" applyAlignment="1">
      <alignment horizontal="right" vertical="center"/>
    </xf>
    <xf numFmtId="1" fontId="15" fillId="3" borderId="8" xfId="2" applyNumberFormat="1" applyFont="1" applyFill="1" applyBorder="1" applyAlignment="1">
      <alignment horizontal="right" vertical="center"/>
    </xf>
    <xf numFmtId="4" fontId="15" fillId="3" borderId="2" xfId="1" applyNumberFormat="1" applyFont="1" applyFill="1" applyBorder="1" applyAlignment="1">
      <alignment horizontal="right" vertical="center"/>
    </xf>
    <xf numFmtId="4" fontId="15" fillId="3" borderId="11" xfId="1" applyNumberFormat="1" applyFont="1" applyFill="1" applyBorder="1" applyAlignment="1">
      <alignment horizontal="right" vertical="center"/>
    </xf>
    <xf numFmtId="3" fontId="15" fillId="3" borderId="1" xfId="1" applyNumberFormat="1" applyFont="1" applyFill="1" applyBorder="1" applyAlignment="1">
      <alignment horizontal="right" vertical="center"/>
    </xf>
    <xf numFmtId="3" fontId="16" fillId="3" borderId="11" xfId="3" applyNumberFormat="1" applyFont="1" applyFill="1" applyBorder="1" applyAlignment="1" applyProtection="1">
      <alignment horizontal="right" vertical="center"/>
    </xf>
    <xf numFmtId="3" fontId="15" fillId="3" borderId="3" xfId="1" applyNumberFormat="1" applyFont="1" applyFill="1" applyBorder="1" applyAlignment="1">
      <alignment horizontal="right" vertical="center"/>
    </xf>
    <xf numFmtId="3" fontId="15" fillId="3" borderId="8" xfId="1" applyNumberFormat="1" applyFont="1" applyFill="1" applyBorder="1" applyAlignment="1">
      <alignment horizontal="right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7" borderId="3" xfId="0" applyFont="1" applyFill="1" applyBorder="1" applyAlignment="1">
      <alignment horizontal="left" vertical="center"/>
    </xf>
    <xf numFmtId="0" fontId="15" fillId="7" borderId="37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1" fontId="15" fillId="0" borderId="3" xfId="2" applyNumberFormat="1" applyFont="1" applyFill="1" applyBorder="1" applyAlignment="1">
      <alignment horizontal="center" vertical="center" wrapText="1"/>
    </xf>
    <xf numFmtId="1" fontId="15" fillId="0" borderId="8" xfId="2" applyNumberFormat="1" applyFont="1" applyFill="1" applyBorder="1" applyAlignment="1">
      <alignment horizontal="center" vertical="center" wrapText="1"/>
    </xf>
    <xf numFmtId="1" fontId="15" fillId="0" borderId="5" xfId="2" applyNumberFormat="1" applyFont="1" applyFill="1" applyBorder="1" applyAlignment="1">
      <alignment horizontal="center" vertical="center" wrapText="1"/>
    </xf>
    <xf numFmtId="1" fontId="15" fillId="0" borderId="1" xfId="2" applyNumberFormat="1" applyFont="1" applyFill="1" applyBorder="1" applyAlignment="1">
      <alignment horizontal="center" vertical="center" wrapText="1"/>
    </xf>
    <xf numFmtId="1" fontId="5" fillId="0" borderId="3" xfId="2" applyNumberFormat="1" applyFont="1" applyFill="1" applyBorder="1" applyAlignment="1">
      <alignment horizontal="center" vertical="center" wrapText="1"/>
    </xf>
    <xf numFmtId="1" fontId="5" fillId="0" borderId="8" xfId="2" applyNumberFormat="1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2" fontId="15" fillId="3" borderId="4" xfId="2" applyNumberFormat="1" applyFont="1" applyFill="1" applyBorder="1" applyAlignment="1">
      <alignment horizontal="right" vertical="center"/>
    </xf>
    <xf numFmtId="2" fontId="15" fillId="3" borderId="7" xfId="2" applyNumberFormat="1" applyFont="1" applyFill="1" applyBorder="1" applyAlignment="1">
      <alignment horizontal="right" vertical="center"/>
    </xf>
    <xf numFmtId="2" fontId="15" fillId="3" borderId="3" xfId="2" applyNumberFormat="1" applyFont="1" applyFill="1" applyBorder="1" applyAlignment="1">
      <alignment horizontal="right" vertical="center"/>
    </xf>
    <xf numFmtId="2" fontId="15" fillId="3" borderId="8" xfId="2" applyNumberFormat="1" applyFont="1" applyFill="1" applyBorder="1" applyAlignment="1">
      <alignment horizontal="right" vertical="center"/>
    </xf>
    <xf numFmtId="3" fontId="25" fillId="9" borderId="2" xfId="1" applyNumberFormat="1" applyFont="1" applyFill="1" applyBorder="1" applyAlignment="1">
      <alignment horizontal="right" vertical="center"/>
    </xf>
    <xf numFmtId="3" fontId="25" fillId="9" borderId="12" xfId="1" applyNumberFormat="1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left" vertical="center" wrapText="1"/>
    </xf>
  </cellXfs>
  <cellStyles count="5">
    <cellStyle name="Обычный" xfId="0" builtinId="0"/>
    <cellStyle name="Обычный 2" xfId="3"/>
    <cellStyle name="Процентный" xfId="2" builtinId="5"/>
    <cellStyle name="Финансовый" xfId="1" builtinId="3"/>
    <cellStyle name="Финансовый 2" xfId="4"/>
  </cellStyles>
  <dxfs count="4"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0070BA"/>
      <color rgb="FFC9E8FF"/>
      <color rgb="FFDEDEDE"/>
      <color rgb="FF92D050"/>
      <color rgb="FFFFCCCC"/>
      <color rgb="FFFF9999"/>
      <color rgb="FFE5F4FF"/>
      <color rgb="FF0097D8"/>
      <color rgb="FFF3FAFF"/>
      <color rgb="FFA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58575691965589E-2"/>
          <c:y val="0.17473843166864414"/>
          <c:w val="0.90868614313300955"/>
          <c:h val="0.54141273268820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Подложка!$B$17</c:f>
              <c:strCache>
                <c:ptCount val="1"/>
                <c:pt idx="0">
                  <c:v>ось 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Подложка!$A$18:$A$21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Подложка!$B$18:$B$21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9-48D6-BFA1-A593B7EA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575168"/>
        <c:axId val="493616512"/>
      </c:scatterChart>
      <c:valAx>
        <c:axId val="493575168"/>
        <c:scaling>
          <c:orientation val="minMax"/>
          <c:max val="4.5"/>
          <c:min val="0.5"/>
        </c:scaling>
        <c:delete val="1"/>
        <c:axPos val="b"/>
        <c:numFmt formatCode="General" sourceLinked="1"/>
        <c:majorTickMark val="out"/>
        <c:minorTickMark val="none"/>
        <c:tickLblPos val="nextTo"/>
        <c:crossAx val="493616512"/>
        <c:crosses val="autoZero"/>
        <c:crossBetween val="midCat"/>
        <c:majorUnit val="1"/>
      </c:valAx>
      <c:valAx>
        <c:axId val="493616512"/>
        <c:scaling>
          <c:orientation val="minMax"/>
          <c:max val="3"/>
          <c:min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493575168"/>
        <c:crosses val="autoZero"/>
        <c:crossBetween val="midCat"/>
        <c:maj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9939438532615E-2"/>
          <c:y val="0.17473816228210337"/>
          <c:w val="0.90868614313300955"/>
          <c:h val="0.54141273268820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Подложка!$B$17</c:f>
              <c:strCache>
                <c:ptCount val="1"/>
                <c:pt idx="0">
                  <c:v>ось 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Подложка!$A$18:$A$21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Подложка!$B$18:$B$21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9-46D0-8C61-5F15D829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575168"/>
        <c:axId val="493616512"/>
      </c:scatterChart>
      <c:valAx>
        <c:axId val="493575168"/>
        <c:scaling>
          <c:orientation val="minMax"/>
          <c:max val="4.5"/>
          <c:min val="0.5"/>
        </c:scaling>
        <c:delete val="1"/>
        <c:axPos val="b"/>
        <c:numFmt formatCode="General" sourceLinked="1"/>
        <c:majorTickMark val="out"/>
        <c:minorTickMark val="none"/>
        <c:tickLblPos val="nextTo"/>
        <c:crossAx val="493616512"/>
        <c:crosses val="autoZero"/>
        <c:crossBetween val="midCat"/>
        <c:majorUnit val="1"/>
      </c:valAx>
      <c:valAx>
        <c:axId val="493616512"/>
        <c:scaling>
          <c:orientation val="minMax"/>
          <c:max val="3"/>
          <c:min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493575168"/>
        <c:crosses val="autoZero"/>
        <c:crossBetween val="midCat"/>
        <c:majorUnit val="1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207466</xdr:colOff>
      <xdr:row>13</xdr:row>
      <xdr:rowOff>138960</xdr:rowOff>
    </xdr:from>
    <xdr:to>
      <xdr:col>11</xdr:col>
      <xdr:colOff>257728</xdr:colOff>
      <xdr:row>18</xdr:row>
      <xdr:rowOff>22410</xdr:rowOff>
    </xdr:to>
    <xdr:grpSp>
      <xdr:nvGrpSpPr>
        <xdr:cNvPr id="2" name="Группа 1"/>
        <xdr:cNvGrpSpPr/>
      </xdr:nvGrpSpPr>
      <xdr:grpSpPr>
        <a:xfrm>
          <a:off x="5619907" y="2212048"/>
          <a:ext cx="1831997" cy="992833"/>
          <a:chOff x="1219200" y="3006457"/>
          <a:chExt cx="2081416" cy="1103470"/>
        </a:xfrm>
      </xdr:grpSpPr>
      <xdr:sp macro="" textlink="">
        <xdr:nvSpPr>
          <xdr:cNvPr id="3" name="Прямоугольник 2"/>
          <xdr:cNvSpPr/>
        </xdr:nvSpPr>
        <xdr:spPr>
          <a:xfrm rot="10800000">
            <a:off x="1219200" y="3019424"/>
            <a:ext cx="1885950" cy="10286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ru-RU" sz="11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Прямоугольник 3"/>
          <xdr:cNvSpPr/>
        </xdr:nvSpPr>
        <xdr:spPr>
          <a:xfrm rot="10800000">
            <a:off x="1431240" y="3113556"/>
            <a:ext cx="1869376" cy="909190"/>
          </a:xfrm>
          <a:prstGeom prst="rect">
            <a:avLst/>
          </a:prstGeom>
          <a:gradFill flip="none" rotWithShape="1">
            <a:gsLst>
              <a:gs pos="42554">
                <a:srgbClr val="FFD483"/>
              </a:gs>
              <a:gs pos="51000">
                <a:srgbClr val="FFEB84"/>
              </a:gs>
              <a:gs pos="10000">
                <a:srgbClr val="FF7C80"/>
              </a:gs>
              <a:gs pos="79000">
                <a:srgbClr val="92D050"/>
              </a:gs>
            </a:gsLst>
            <a:lin ang="0" scaled="1"/>
            <a:tileRect/>
          </a:gradFill>
          <a:ln w="1905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ru-RU" sz="11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1542463" y="3006458"/>
            <a:ext cx="304799" cy="3465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1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2883554" y="3008420"/>
            <a:ext cx="304799" cy="3445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4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1989495" y="3008417"/>
            <a:ext cx="304799" cy="3445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2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2436523" y="3006457"/>
            <a:ext cx="304799" cy="346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3</a:t>
            </a:r>
          </a:p>
        </xdr:txBody>
      </xdr:sp>
      <xdr:sp macro="" textlink="">
        <xdr:nvSpPr>
          <xdr:cNvPr id="9" name="TextBox 8"/>
          <xdr:cNvSpPr txBox="1"/>
        </xdr:nvSpPr>
        <xdr:spPr>
          <a:xfrm>
            <a:off x="1258855" y="3202057"/>
            <a:ext cx="304801" cy="36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А</a:t>
            </a: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258857" y="3465203"/>
            <a:ext cx="304801" cy="3940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В</a:t>
            </a: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258857" y="3725079"/>
            <a:ext cx="304801" cy="38484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С</a:t>
            </a:r>
          </a:p>
        </xdr:txBody>
      </xdr:sp>
    </xdr:grpSp>
    <xdr:clientData fLocksWithSheet="0"/>
  </xdr:twoCellAnchor>
  <xdr:twoCellAnchor>
    <xdr:from>
      <xdr:col>9</xdr:col>
      <xdr:colOff>392206</xdr:colOff>
      <xdr:row>14</xdr:row>
      <xdr:rowOff>22412</xdr:rowOff>
    </xdr:from>
    <xdr:to>
      <xdr:col>11</xdr:col>
      <xdr:colOff>347384</xdr:colOff>
      <xdr:row>18</xdr:row>
      <xdr:rowOff>22411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207466</xdr:colOff>
      <xdr:row>13</xdr:row>
      <xdr:rowOff>138960</xdr:rowOff>
    </xdr:from>
    <xdr:to>
      <xdr:col>11</xdr:col>
      <xdr:colOff>257728</xdr:colOff>
      <xdr:row>18</xdr:row>
      <xdr:rowOff>22410</xdr:rowOff>
    </xdr:to>
    <xdr:grpSp>
      <xdr:nvGrpSpPr>
        <xdr:cNvPr id="2" name="Группа 1"/>
        <xdr:cNvGrpSpPr/>
      </xdr:nvGrpSpPr>
      <xdr:grpSpPr>
        <a:xfrm>
          <a:off x="6045731" y="2212048"/>
          <a:ext cx="1831997" cy="992833"/>
          <a:chOff x="1219200" y="3006457"/>
          <a:chExt cx="2081416" cy="1103470"/>
        </a:xfrm>
      </xdr:grpSpPr>
      <xdr:sp macro="" textlink="">
        <xdr:nvSpPr>
          <xdr:cNvPr id="3" name="Прямоугольник 2"/>
          <xdr:cNvSpPr/>
        </xdr:nvSpPr>
        <xdr:spPr>
          <a:xfrm rot="10800000">
            <a:off x="1219200" y="3019424"/>
            <a:ext cx="1885950" cy="10286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ru-RU" sz="11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Прямоугольник 3"/>
          <xdr:cNvSpPr/>
        </xdr:nvSpPr>
        <xdr:spPr>
          <a:xfrm rot="10800000">
            <a:off x="1431240" y="3113556"/>
            <a:ext cx="1869376" cy="909190"/>
          </a:xfrm>
          <a:prstGeom prst="rect">
            <a:avLst/>
          </a:prstGeom>
          <a:gradFill flip="none" rotWithShape="1">
            <a:gsLst>
              <a:gs pos="42554">
                <a:srgbClr val="FFD483"/>
              </a:gs>
              <a:gs pos="51000">
                <a:srgbClr val="FFEB84"/>
              </a:gs>
              <a:gs pos="10000">
                <a:srgbClr val="FF7C80"/>
              </a:gs>
              <a:gs pos="79000">
                <a:srgbClr val="92D050"/>
              </a:gs>
            </a:gsLst>
            <a:lin ang="0" scaled="1"/>
            <a:tileRect/>
          </a:gradFill>
          <a:ln w="1905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ru-RU" sz="11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TextBox 4"/>
          <xdr:cNvSpPr txBox="1"/>
        </xdr:nvSpPr>
        <xdr:spPr>
          <a:xfrm>
            <a:off x="1542463" y="3006458"/>
            <a:ext cx="304799" cy="3465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1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2883554" y="3008420"/>
            <a:ext cx="304799" cy="3445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4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1989495" y="3008417"/>
            <a:ext cx="304799" cy="3445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2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2436523" y="3006457"/>
            <a:ext cx="304799" cy="346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3</a:t>
            </a:r>
          </a:p>
        </xdr:txBody>
      </xdr:sp>
      <xdr:sp macro="" textlink="">
        <xdr:nvSpPr>
          <xdr:cNvPr id="9" name="TextBox 8"/>
          <xdr:cNvSpPr txBox="1"/>
        </xdr:nvSpPr>
        <xdr:spPr>
          <a:xfrm>
            <a:off x="1258855" y="3202057"/>
            <a:ext cx="304801" cy="3638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А</a:t>
            </a: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258857" y="3465203"/>
            <a:ext cx="304801" cy="3940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В</a:t>
            </a: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258857" y="3725079"/>
            <a:ext cx="304801" cy="38484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ru-RU" sz="1000" b="1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С</a:t>
            </a:r>
          </a:p>
        </xdr:txBody>
      </xdr:sp>
    </xdr:grpSp>
    <xdr:clientData fLocksWithSheet="0"/>
  </xdr:twoCellAnchor>
  <xdr:twoCellAnchor>
    <xdr:from>
      <xdr:col>9</xdr:col>
      <xdr:colOff>324971</xdr:colOff>
      <xdr:row>13</xdr:row>
      <xdr:rowOff>268942</xdr:rowOff>
    </xdr:from>
    <xdr:to>
      <xdr:col>11</xdr:col>
      <xdr:colOff>280149</xdr:colOff>
      <xdr:row>17</xdr:row>
      <xdr:rowOff>212912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B1:T95"/>
  <sheetViews>
    <sheetView showGridLines="0" tabSelected="1" view="pageBreakPreview" topLeftCell="A49" zoomScale="85" zoomScaleNormal="80" zoomScaleSheetLayoutView="85" workbookViewId="0">
      <selection activeCell="Q48" sqref="Q48"/>
    </sheetView>
  </sheetViews>
  <sheetFormatPr defaultRowHeight="15" x14ac:dyDescent="0.2"/>
  <cols>
    <col min="1" max="1" width="9.140625" style="1"/>
    <col min="2" max="2" width="10.7109375" style="1" customWidth="1"/>
    <col min="3" max="4" width="9.85546875" style="1" customWidth="1"/>
    <col min="5" max="5" width="9.28515625" style="1" customWidth="1"/>
    <col min="6" max="6" width="7.42578125" style="1" customWidth="1"/>
    <col min="7" max="7" width="8.85546875" style="1" customWidth="1"/>
    <col min="8" max="8" width="9.28515625" style="1" customWidth="1"/>
    <col min="9" max="9" width="6.7109375" style="1" customWidth="1"/>
    <col min="10" max="10" width="19.5703125" style="1" customWidth="1"/>
    <col min="11" max="11" width="7.28515625" style="1" customWidth="1"/>
    <col min="12" max="12" width="19.5703125" style="1" customWidth="1"/>
    <col min="13" max="13" width="7.28515625" style="1" customWidth="1"/>
    <col min="14" max="14" width="7.42578125" style="60" customWidth="1"/>
    <col min="15" max="15" width="24" style="1" customWidth="1"/>
    <col min="16" max="16" width="4" style="1" customWidth="1"/>
    <col min="17" max="17" width="59.140625" style="1" customWidth="1"/>
    <col min="18" max="18" width="14.85546875" style="1" customWidth="1"/>
    <col min="19" max="19" width="9.140625" style="1"/>
    <col min="20" max="20" width="24.42578125" style="1" customWidth="1"/>
    <col min="21" max="21" width="14.85546875" style="1" customWidth="1"/>
    <col min="22" max="22" width="9.140625" style="1"/>
    <col min="23" max="23" width="26.140625" style="1" customWidth="1"/>
    <col min="24" max="24" width="13.28515625" style="1" customWidth="1"/>
    <col min="25" max="25" width="9.140625" style="1"/>
    <col min="26" max="26" width="64.42578125" style="1" customWidth="1"/>
    <col min="27" max="16384" width="9.140625" style="1"/>
  </cols>
  <sheetData>
    <row r="1" spans="2:16" ht="18" customHeight="1" x14ac:dyDescent="0.2">
      <c r="B1" s="122"/>
      <c r="C1" s="122"/>
      <c r="D1" s="122"/>
      <c r="E1" s="236"/>
      <c r="F1" s="122" t="s">
        <v>209</v>
      </c>
      <c r="G1" s="122"/>
      <c r="H1" s="122"/>
      <c r="I1" s="122"/>
      <c r="J1" s="122"/>
      <c r="K1" s="122"/>
      <c r="L1" s="122"/>
      <c r="M1" s="122"/>
      <c r="N1" s="315"/>
      <c r="O1" s="62"/>
      <c r="P1" s="62"/>
    </row>
    <row r="2" spans="2:16" ht="12" customHeight="1" x14ac:dyDescent="0.2"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315"/>
      <c r="O2" s="62"/>
      <c r="P2" s="62"/>
    </row>
    <row r="3" spans="2:16" ht="13.5" customHeight="1" x14ac:dyDescent="0.2">
      <c r="E3" s="10"/>
      <c r="F3" s="10"/>
      <c r="K3" s="68" t="s">
        <v>110</v>
      </c>
      <c r="L3" s="136">
        <v>46266</v>
      </c>
      <c r="M3" s="72"/>
      <c r="N3" s="275" t="s">
        <v>125</v>
      </c>
    </row>
    <row r="4" spans="2:16" ht="4.5" customHeight="1" x14ac:dyDescent="0.2">
      <c r="E4" s="10"/>
      <c r="F4" s="10"/>
      <c r="K4" s="68"/>
      <c r="L4" s="57"/>
      <c r="M4" s="57"/>
      <c r="N4" s="316"/>
    </row>
    <row r="5" spans="2:16" ht="18" customHeight="1" x14ac:dyDescent="0.2">
      <c r="B5" s="141" t="s">
        <v>106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316"/>
    </row>
    <row r="6" spans="2:16" ht="9.9499999999999993" customHeight="1" x14ac:dyDescent="0.2">
      <c r="N6" s="316"/>
    </row>
    <row r="7" spans="2:16" x14ac:dyDescent="0.2">
      <c r="B7" s="75" t="s">
        <v>44</v>
      </c>
      <c r="G7" s="4"/>
      <c r="H7" s="385" t="s">
        <v>340</v>
      </c>
      <c r="I7" s="385"/>
      <c r="J7" s="385"/>
      <c r="K7" s="385"/>
      <c r="L7" s="385"/>
      <c r="M7" s="385"/>
      <c r="N7" s="275" t="s">
        <v>125</v>
      </c>
      <c r="O7" s="12"/>
    </row>
    <row r="8" spans="2:16" x14ac:dyDescent="0.2">
      <c r="B8" s="75" t="s">
        <v>99</v>
      </c>
      <c r="G8" s="4"/>
      <c r="H8" s="386" t="s">
        <v>339</v>
      </c>
      <c r="I8" s="386"/>
      <c r="J8" s="70"/>
      <c r="K8" s="70"/>
      <c r="L8" s="70"/>
      <c r="M8" s="70"/>
      <c r="N8" s="275" t="s">
        <v>125</v>
      </c>
      <c r="O8" s="15"/>
    </row>
    <row r="9" spans="2:16" hidden="1" x14ac:dyDescent="0.2">
      <c r="B9" s="3" t="s">
        <v>37</v>
      </c>
      <c r="E9" s="5"/>
      <c r="F9" s="5"/>
      <c r="G9" s="4"/>
      <c r="H9" s="387"/>
      <c r="I9" s="387"/>
      <c r="J9" s="387"/>
      <c r="K9" s="387"/>
      <c r="L9" s="387"/>
      <c r="M9" s="387"/>
      <c r="N9" s="275" t="s">
        <v>103</v>
      </c>
    </row>
    <row r="10" spans="2:16" ht="15.75" customHeight="1" x14ac:dyDescent="0.2">
      <c r="B10" s="75" t="s">
        <v>109</v>
      </c>
      <c r="E10" s="5"/>
      <c r="F10" s="5"/>
      <c r="G10" s="4"/>
      <c r="H10" s="386" t="s">
        <v>261</v>
      </c>
      <c r="I10" s="386"/>
      <c r="J10" s="78" t="s">
        <v>111</v>
      </c>
      <c r="K10" s="258" t="str">
        <f>IFERROR(IF(OR(AND(MID($H$10,1,2)*1&lt;=43, MID($H$10,1,2)*1&gt;=41),MID($H$10,1,2)*1=71),"Строительство",IF(OR(MID($H$10,1,2)*1=6,MID($H$10,1,4)="49.5",MID($H$10,1,2)*1=9,MID($H$10,1,4)="19.2"),"Добыча, переработка и транспортировка газа, нефти и нефтепродуктов",IF(OR(MID($H$10,1,2)*1=49,MID($H$10,1,2)*1=53,MID($H$10,1,2)*1=52),"Транспортировка и хранение",IF(OR(AND(MID($H$10,1,2)*1&lt;=47, MID($H$10,1,2)*1&gt;=45)),"Торговля",IF(OR(AND(MID($H$10,1,2)*1&lt;=33, MID($H$10,1,2)*1&gt;=10),MID($H$10,1,2)*1=35,MID($H$10,1,2)*1=5,MID($H$10,1,2)*1=7,MID($H$10,1,2)*1=8),"Производство",IF(OR(MID($H$10,1,2)*1=51),"Авиакомпания",IF(OR(MID($H$10,1,2)*1=50),"Судовладелец",IF(OR(MID($H$10,1,2)*1=62,MID($H$10,1,2)*1=63),"ИТ","Прочие")))))))),"Укажите код ОКВЭД")</f>
        <v>Производство</v>
      </c>
      <c r="L10" s="258"/>
      <c r="M10" s="73"/>
      <c r="N10" s="275" t="s">
        <v>125</v>
      </c>
    </row>
    <row r="11" spans="2:16" x14ac:dyDescent="0.2">
      <c r="B11" s="75" t="s">
        <v>204</v>
      </c>
      <c r="E11" s="5"/>
      <c r="F11" s="5"/>
      <c r="G11" s="4"/>
      <c r="H11" s="388" t="s">
        <v>90</v>
      </c>
      <c r="I11" s="388"/>
      <c r="J11" s="388"/>
      <c r="K11" s="388"/>
      <c r="L11" s="388"/>
      <c r="M11" s="388"/>
      <c r="N11" s="275" t="s">
        <v>144</v>
      </c>
    </row>
    <row r="12" spans="2:16" ht="9.9499999999999993" customHeight="1" x14ac:dyDescent="0.2">
      <c r="N12" s="316"/>
    </row>
    <row r="13" spans="2:16" ht="18" customHeight="1" x14ac:dyDescent="0.2">
      <c r="B13" s="213" t="s">
        <v>205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316"/>
    </row>
    <row r="14" spans="2:16" ht="21.75" customHeight="1" x14ac:dyDescent="0.25">
      <c r="B14" s="218"/>
      <c r="C14" s="219"/>
      <c r="D14" s="219"/>
      <c r="E14" s="219"/>
      <c r="F14" s="219"/>
      <c r="G14" s="219"/>
      <c r="H14" s="379">
        <f>J22</f>
        <v>46022</v>
      </c>
      <c r="I14" s="379"/>
      <c r="J14" s="219"/>
      <c r="K14" s="219"/>
      <c r="L14" s="380">
        <f>L22</f>
        <v>45657</v>
      </c>
      <c r="M14" s="380"/>
      <c r="N14" s="275" t="s">
        <v>102</v>
      </c>
    </row>
    <row r="15" spans="2:16" ht="15.75" customHeight="1" x14ac:dyDescent="0.25">
      <c r="B15" s="215" t="s">
        <v>134</v>
      </c>
      <c r="C15" s="107"/>
      <c r="D15" s="107"/>
      <c r="E15" s="107"/>
      <c r="F15" s="107"/>
      <c r="G15" s="107"/>
      <c r="H15" s="382" t="str">
        <f>J61&amp;J60</f>
        <v>B1</v>
      </c>
      <c r="I15" s="382"/>
      <c r="J15" s="223">
        <f>J60</f>
        <v>1</v>
      </c>
      <c r="K15" s="224"/>
      <c r="L15" s="222"/>
      <c r="M15" s="313" t="str">
        <f>L61&amp;L60</f>
        <v>B1</v>
      </c>
      <c r="N15" s="275" t="s">
        <v>102</v>
      </c>
    </row>
    <row r="16" spans="2:16" ht="15.75" customHeight="1" x14ac:dyDescent="0.2">
      <c r="B16" s="220" t="s">
        <v>126</v>
      </c>
      <c r="C16" s="113"/>
      <c r="D16" s="113"/>
      <c r="E16" s="113"/>
      <c r="F16" s="113"/>
      <c r="G16" s="113"/>
      <c r="H16" s="383" t="str">
        <f>ROUND(J58,0)&amp;" "&amp;K58</f>
        <v>84 из 100</v>
      </c>
      <c r="I16" s="383"/>
      <c r="J16" s="223">
        <f>J58</f>
        <v>84</v>
      </c>
      <c r="K16" s="224"/>
      <c r="L16" s="226"/>
      <c r="M16" s="349" t="str">
        <f>L58&amp;" "&amp;K58</f>
        <v>80 из 100</v>
      </c>
      <c r="N16" s="275" t="s">
        <v>102</v>
      </c>
    </row>
    <row r="17" spans="2:19" ht="15.75" customHeight="1" x14ac:dyDescent="0.25">
      <c r="B17" s="221" t="str">
        <f>"КРЕДИТНЫЙ ЛИМИТ КОНТРАГЕНТА, "&amp;'РСБУ отчетность'!C2&amp;'РСБУ отчетность'!C3</f>
        <v>КРЕДИТНЫЙ ЛИМИТ КОНТРАГЕНТА, тыс. руб.</v>
      </c>
      <c r="C17" s="113"/>
      <c r="D17" s="113"/>
      <c r="E17" s="113"/>
      <c r="F17" s="113"/>
      <c r="G17" s="113"/>
      <c r="H17" s="383">
        <f>J92</f>
        <v>1912919.9123999998</v>
      </c>
      <c r="I17" s="383"/>
      <c r="J17" s="223">
        <f>H17</f>
        <v>1912919.9123999998</v>
      </c>
      <c r="K17" s="225">
        <f>L86*L88*L90*(1-L91)</f>
        <v>1580215.504</v>
      </c>
      <c r="L17" s="384">
        <f>L92</f>
        <v>1580215.504</v>
      </c>
      <c r="M17" s="384"/>
      <c r="N17" s="275" t="s">
        <v>102</v>
      </c>
    </row>
    <row r="18" spans="2:19" ht="18" customHeight="1" x14ac:dyDescent="0.25">
      <c r="B18" s="221" t="str">
        <f>"ЛИМИТ АВАНСОВОГО ПЛАТЕЖА, "&amp;'РСБУ отчетность'!C2&amp;'РСБУ отчетность'!C3</f>
        <v>ЛИМИТ АВАНСОВОГО ПЛАТЕЖА, тыс. руб.</v>
      </c>
      <c r="C18" s="113"/>
      <c r="D18" s="113"/>
      <c r="E18" s="113"/>
      <c r="F18" s="113"/>
      <c r="G18" s="113"/>
      <c r="H18" s="383">
        <f>J93</f>
        <v>58919.894999999997</v>
      </c>
      <c r="I18" s="383"/>
      <c r="J18" s="223">
        <f>H18</f>
        <v>58919.894999999997</v>
      </c>
      <c r="K18" s="225"/>
      <c r="L18" s="384">
        <f>L93</f>
        <v>40481.006999999998</v>
      </c>
      <c r="M18" s="384"/>
      <c r="N18" s="275" t="s">
        <v>102</v>
      </c>
    </row>
    <row r="19" spans="2:19" ht="9.9499999999999993" customHeight="1" x14ac:dyDescent="0.25">
      <c r="B19" s="227"/>
      <c r="C19" s="67"/>
      <c r="D19" s="67"/>
      <c r="E19" s="67"/>
      <c r="F19" s="67"/>
      <c r="G19" s="67"/>
      <c r="H19" s="224"/>
      <c r="I19" s="224"/>
      <c r="J19" s="224"/>
      <c r="K19" s="224"/>
      <c r="L19" s="224"/>
      <c r="M19" s="224"/>
      <c r="N19" s="316"/>
    </row>
    <row r="20" spans="2:19" ht="18" customHeight="1" x14ac:dyDescent="0.2">
      <c r="B20" s="118" t="s">
        <v>108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316"/>
    </row>
    <row r="21" spans="2:19" ht="4.5" customHeight="1" x14ac:dyDescent="0.25">
      <c r="B21" s="2"/>
      <c r="H21" s="56"/>
      <c r="N21" s="316"/>
      <c r="S21" s="14"/>
    </row>
    <row r="22" spans="2:19" ht="12.75" customHeight="1" x14ac:dyDescent="0.2">
      <c r="B22" s="11"/>
      <c r="C22" s="11"/>
      <c r="D22" s="11"/>
      <c r="E22" s="11"/>
      <c r="F22" s="11"/>
      <c r="G22" s="11"/>
      <c r="J22" s="381">
        <f>'РСБУ отчетность'!E5</f>
        <v>46022</v>
      </c>
      <c r="K22" s="381"/>
      <c r="L22" s="381">
        <f>'РСБУ отчетность'!F5</f>
        <v>45657</v>
      </c>
      <c r="M22" s="381"/>
      <c r="N22" s="275" t="s">
        <v>102</v>
      </c>
      <c r="P22" s="11"/>
      <c r="Q22" s="11"/>
      <c r="R22" s="11"/>
    </row>
    <row r="23" spans="2:19" ht="18" customHeight="1" x14ac:dyDescent="0.25">
      <c r="B23" s="88" t="s">
        <v>3</v>
      </c>
      <c r="C23" s="92"/>
      <c r="D23" s="92"/>
      <c r="E23" s="92"/>
      <c r="F23" s="117"/>
      <c r="I23" s="120" t="s">
        <v>182</v>
      </c>
      <c r="J23" s="354" t="s">
        <v>98</v>
      </c>
      <c r="K23" s="142" t="s">
        <v>135</v>
      </c>
      <c r="L23" s="354" t="s">
        <v>98</v>
      </c>
      <c r="M23" s="259" t="s">
        <v>135</v>
      </c>
      <c r="N23" s="316"/>
    </row>
    <row r="24" spans="2:19" ht="15.75" customHeight="1" x14ac:dyDescent="0.2">
      <c r="B24" s="76" t="s">
        <v>243</v>
      </c>
      <c r="C24" s="59"/>
      <c r="D24" s="59"/>
      <c r="E24" s="59"/>
      <c r="F24" s="59"/>
      <c r="I24" s="184">
        <v>10</v>
      </c>
      <c r="J24" s="291">
        <f>'РСБУ отчетность'!E79</f>
        <v>3.2836953360921597</v>
      </c>
      <c r="K24" s="228">
        <f>ROUND(IF(J24="",0,IF($K$10="Строительство",Подложка!G45*I24/100,IF($K$10="Добыча, переработка и транспортировка газа, нефти и нефтепродуктов",Подложка!L45*I24/100,IF($K$10="Транспортировка и хранение",Подложка!Q45*I24/100,IF($K$10="Торговля",Подложка!V45*I24/100,IF($K$10="Производство",Подложка!AA45*I24/100,IF($K$10="Авиакомпания",Подложка!AF45*I24/100,IF($K$10="Судовладелец",Подложка!AK45*I24/100,IF($K$10="Прочие",Подложка!AP45*I24/100,IF($K$10="ИТ",Подложка!AU45*I24/100,0)))))))))),0)</f>
        <v>10</v>
      </c>
      <c r="L24" s="185">
        <f>'РСБУ отчетность'!F79</f>
        <v>2.982127629056134</v>
      </c>
      <c r="M24" s="230">
        <f>IF(L24="",0,IF($K$10="Строительство",Подложка!G55*I24/100,IF($K$10="Добыча, переработка и транспортировка газа, нефти и нефтепродуктов",Подложка!L55*I24/100,IF($K$10="Транспортировка и хранение",Подложка!Q55*I24/100,IF($K$10="Торговля",Подложка!V55*I24/100,IF($K$10="Производство",Подложка!AA55*I24/100,IF($K$10="Авиакомпания",Подложка!AF55*I24/100,IF($K$10="Судовладелец",Подложка!AK55*I24/100,IF($K$10="Прочие",Подложка!AP55*I24/100,IF($K$10="ИТ",Подложка!AU55*I24/100,0))))))))))</f>
        <v>10</v>
      </c>
      <c r="N24" s="275" t="s">
        <v>102</v>
      </c>
    </row>
    <row r="25" spans="2:19" ht="15.75" customHeight="1" x14ac:dyDescent="0.2">
      <c r="B25" s="76" t="s">
        <v>112</v>
      </c>
      <c r="C25" s="59"/>
      <c r="D25" s="59"/>
      <c r="E25" s="59"/>
      <c r="F25" s="59"/>
      <c r="I25" s="184">
        <v>5</v>
      </c>
      <c r="J25" s="292">
        <f>'РСБУ отчетность'!E80</f>
        <v>1.7494150542444917</v>
      </c>
      <c r="K25" s="228">
        <f>ROUND(IF(J25="",0,IF($K$10="Строительство",Подложка!G46*I25/100,IF($K$10="Добыча, переработка и транспортировка газа, нефти и нефтепродуктов",Подложка!L46*I25/100,IF($K$10="Транспортировка и хранение",Подложка!Q46*I25/100,IF($K$10="Торговля",Подложка!V46*I25/100,IF($K$10="Производство",Подложка!AA46*I25/100,IF($K$10="Авиакомпания",Подложка!AF46*I25/100,IF($K$10="Судовладелец",Подложка!AK46*I25/100,IF($K$10="Прочие",Подложка!AP46*I25/100,IF($K$10="ИТ",Подложка!AU46*I25/100,0)))))))))),0)</f>
        <v>5</v>
      </c>
      <c r="L25" s="185">
        <f>'РСБУ отчетность'!F80</f>
        <v>1.7555589920471366</v>
      </c>
      <c r="M25" s="230">
        <f>IF(L25="",0,IF($K$10="Строительство",Подложка!G56*I25/100,IF($K$10="Добыча, переработка и транспортировка газа, нефти и нефтепродуктов",Подложка!L56*I25/100,IF($K$10="Транспортировка и хранение",Подложка!Q56*I25/100,IF($K$10="Торговля",Подложка!V56*I25/100,IF($K$10="Производство",Подложка!AA56*I25/100,IF($K$10="Авиакомпания",Подложка!AF56*I25/100,IF($K$10="Судовладелец",Подложка!AK56*I25/100,IF($K$10="Прочие",Подложка!AP56*I25/100,IF($K$10="ИТ",Подложка!AU56*I25/100,0))))))))))</f>
        <v>5</v>
      </c>
      <c r="N25" s="275" t="s">
        <v>102</v>
      </c>
    </row>
    <row r="26" spans="2:19" ht="15.75" customHeight="1" x14ac:dyDescent="0.2">
      <c r="B26" s="76" t="s">
        <v>342</v>
      </c>
      <c r="C26" s="59"/>
      <c r="D26" s="59"/>
      <c r="E26" s="59"/>
      <c r="F26" s="59"/>
      <c r="I26" s="184">
        <v>5</v>
      </c>
      <c r="J26" s="351">
        <f>'РСБУ отчетность'!E81</f>
        <v>166.83718559905108</v>
      </c>
      <c r="K26" s="228">
        <f>ROUND(IF($K$10="Строительство",Подложка!G47*I26/100,IF($K$10="Добыча, переработка и транспортировка газа, нефти и нефтепродуктов",Подложка!L47*I26/100,IF($K$10="Транспортировка и хранение",Подложка!Q47*I26/100,IF($K$10="Торговля",Подложка!V47*I26/100,IF($K$10="Производство",Подложка!AA47*I26/100,IF($K$10="Авиакомпания",Подложка!AF47*I26/100,IF($K$10="Судовладелец",Подложка!AK47*I26/100,IF($K$10="Прочие",Подложка!AP47*I26/100,IF($K$10="ИТ",Подложка!AU47*I26/100,0))))))))),0)</f>
        <v>0</v>
      </c>
      <c r="L26" s="352">
        <f>'РСБУ отчетность'!F81</f>
        <v>140.56013024729162</v>
      </c>
      <c r="M26" s="230">
        <f>IF(L26="",0,IF($K$10="Строительство",Подложка!G57*I26/100,IF($K$10="Добыча, переработка и транспортировка газа, нефти и нефтепродуктов",Подложка!L57*I26/100,IF($K$10="Транспортировка и хранение",Подложка!Q57*I26/100,IF($K$10="Торговля",Подложка!V57*I26/100,IF($K$10="Производство",Подложка!AA57*I26/100,IF($K$10="Авиакомпания",Подложка!AF57*I26/100,IF($K$10="Судовладелец",Подложка!AK57*I26/100,IF($K$10="Прочие",Подложка!AP57*I26/100,IF($K$10="ИТ",Подложка!AU57*I26/100,0))))))))))</f>
        <v>0</v>
      </c>
      <c r="N26" s="275" t="s">
        <v>102</v>
      </c>
    </row>
    <row r="27" spans="2:19" ht="15.75" customHeight="1" x14ac:dyDescent="0.2">
      <c r="B27" s="76" t="s">
        <v>244</v>
      </c>
      <c r="C27" s="59"/>
      <c r="D27" s="59"/>
      <c r="E27" s="59"/>
      <c r="F27" s="59"/>
      <c r="I27" s="184">
        <v>10</v>
      </c>
      <c r="J27" s="292">
        <f>'РСБУ отчетность'!E82</f>
        <v>0.70509515482372809</v>
      </c>
      <c r="K27" s="228">
        <f>ROUND(IF(J27="",0,IF($K$10="Строительство",Подложка!G48*I27/100,IF($K$10="Добыча, переработка и транспортировка газа, нефти и нефтепродуктов",Подложка!L48*I27/100,IF($K$10="Транспортировка и хранение",Подложка!Q48*I27/100,IF($K$10="Торговля",Подложка!V48*I27/100,IF($K$10="Производство",Подложка!AA48*I27/100,IF($K$10="Авиакомпания",Подложка!AF48*I27/100,IF($K$10="Судовладелец",Подложка!AK48*I27/100,IF($K$10="Прочие",Подложка!AP48*I27/100,IF($K$10="ИТ",Подложка!AU48*I27/100,0)))))))))),0)</f>
        <v>10</v>
      </c>
      <c r="L27" s="185">
        <f>'РСБУ отчетность'!F82</f>
        <v>0.67351065142555633</v>
      </c>
      <c r="M27" s="230">
        <f>IF(L27="",0,IF($K$10="Строительство",Подложка!G58*I27/100,IF($K$10="Добыча, переработка и транспортировка газа, нефти и нефтепродуктов",Подложка!L58*I27/100,IF($K$10="Транспортировка и хранение",Подложка!Q58*I27/100,IF($K$10="Торговля",Подложка!V58*I27/100,IF($K$10="Производство",Подложка!AA58*I27/100,IF($K$10="Авиакомпания",Подложка!AF58*I27/100,IF($K$10="Судовладелец",Подложка!AK58*I27/100,IF($K$10="Прочие",Подложка!AP58*I27/100,IF($K$10="ИТ",Подложка!AU58*I27/100,0))))))))))</f>
        <v>7</v>
      </c>
      <c r="N27" s="275" t="s">
        <v>102</v>
      </c>
    </row>
    <row r="28" spans="2:19" ht="15.75" customHeight="1" x14ac:dyDescent="0.2">
      <c r="B28" s="76" t="s">
        <v>113</v>
      </c>
      <c r="C28" s="59"/>
      <c r="D28" s="59"/>
      <c r="E28" s="59"/>
      <c r="F28" s="59"/>
      <c r="I28" s="184">
        <v>5</v>
      </c>
      <c r="J28" s="292">
        <f>'РСБУ отчетность'!E83</f>
        <v>9.6934592194879396</v>
      </c>
      <c r="K28" s="228">
        <f>ROUND(IF(J28="",0,IF($K$10="Строительство",Подложка!G49*I28/100,IF($K$10="Добыча, переработка и транспортировка газа, нефти и нефтепродуктов",Подложка!L49*I28/100,IF($K$10="Транспортировка и хранение",Подложка!Q49*I28/100,IF($K$10="Торговля",Подложка!V49*I28/100,IF($K$10="Производство",Подложка!AA49*I28/100,IF($K$10="Авиакомпания",Подложка!AF49*I28/100,IF($K$10="Судовладелец",Подложка!AK49*I28/100,IF($K$10="Прочие",Подложка!AP49*I28/100,IF($K$10="ИТ",Подложка!AU49*I28/100,0)))))))))),0)</f>
        <v>4</v>
      </c>
      <c r="L28" s="185">
        <f>'РСБУ отчетность'!F83</f>
        <v>21.337773979627585</v>
      </c>
      <c r="M28" s="230">
        <f>IF(L28="",0,IF($K$10="Строительство",Подложка!G59*I28/100,IF($K$10="Добыча, переработка и транспортировка газа, нефти и нефтепродуктов",Подложка!L59*I28/100,IF($K$10="Транспортировка и хранение",Подложка!Q59*I28/100,IF($K$10="Торговля",Подложка!V59*I28/100,IF($K$10="Производство",Подложка!AA59*I28/100,IF($K$10="Авиакомпания",Подложка!AF59*I28/100,IF($K$10="Судовладелец",Подложка!AK59*I28/100,IF($K$10="Прочие",Подложка!AP59*I28/100,IF($K$10="ИТ",Подложка!AU59*I28/100,0))))))))))</f>
        <v>5</v>
      </c>
      <c r="N28" s="275" t="s">
        <v>102</v>
      </c>
      <c r="O28" s="16"/>
    </row>
    <row r="29" spans="2:19" ht="15.75" customHeight="1" x14ac:dyDescent="0.2">
      <c r="B29" s="76" t="s">
        <v>245</v>
      </c>
      <c r="C29" s="59"/>
      <c r="D29" s="59"/>
      <c r="E29" s="59"/>
      <c r="F29" s="59"/>
      <c r="I29" s="184">
        <v>10</v>
      </c>
      <c r="J29" s="292">
        <f>'РСБУ отчетность'!E84</f>
        <v>0.30470929115289103</v>
      </c>
      <c r="K29" s="228">
        <f>ROUND(IF(J29=0,I29,IF(OR(J29="",J29&lt;0),0,IF($K$10="Строительство",Подложка!G50*I29/100,IF($K$10="Добыча, переработка и транспортировка газа, нефти и нефтепродуктов",Подложка!L50*I29/100,IF($K$10="Транспортировка и хранение",Подложка!Q50*I29/100,IF($K$10="Торговля",Подложка!V50*I29/100,IF($K$10="Производство",Подложка!AA50*I29/100,IF($K$10="Авиакомпания",Подложка!AF50*I29/100,IF($K$10="Судовладелец",Подложка!AK50*I29/100,IF($K$10="Прочие",Подложка!AP50*I29/100,IF($K$10="ИТ",Подложка!AU50*I29/100,0))))))))))),0)</f>
        <v>7</v>
      </c>
      <c r="L29" s="185">
        <f>'РСБУ отчетность'!F84</f>
        <v>0.16220914114818402</v>
      </c>
      <c r="M29" s="230">
        <f>IF(L29="",0,IF($K$10="Строительство",Подложка!G60*I29/100,IF($K$10="Добыча, переработка и транспортировка газа, нефти и нефтепродуктов",Подложка!L60*I29/100,IF($K$10="Транспортировка и хранение",Подложка!Q60*I29/100,IF($K$10="Торговля",Подложка!V60*I29/100,IF($K$10="Производство",Подложка!AA60*I29/100,IF($K$10="Авиакомпания",Подложка!AF60*I29/100,IF($K$10="Судовладелец",Подложка!AK60*I29/100,IF($K$10="Прочие",Подложка!AP60*I29/100,IF($K$10="ИТ",Подложка!AU60*I29/100,0))))))))))</f>
        <v>7</v>
      </c>
      <c r="N29" s="275" t="s">
        <v>102</v>
      </c>
    </row>
    <row r="30" spans="2:19" ht="15.75" customHeight="1" x14ac:dyDescent="0.2">
      <c r="B30" s="76" t="s">
        <v>246</v>
      </c>
      <c r="C30" s="59"/>
      <c r="D30" s="59"/>
      <c r="E30" s="59"/>
      <c r="F30" s="59"/>
      <c r="I30" s="184">
        <v>5</v>
      </c>
      <c r="J30" s="351">
        <f>'РСБУ отчетность'!E85</f>
        <v>18.72168081316148</v>
      </c>
      <c r="K30" s="228">
        <f>ROUND(IF(J30=0,I30,IF(OR(J30="",J30&lt;0),0,IF($K$10="Строительство",Подложка!G51*I30/100,IF($K$10="Добыча, переработка и транспортировка газа, нефти и нефтепродуктов",Подложка!L51*I30/100,IF($K$10="Транспортировка и хранение",Подложка!Q51*I30/100,IF($K$10="Торговля",Подложка!V51*I30/100,IF($K$10="Производство",Подложка!AA51*I30/100,IF($K$10="Авиакомпания",Подложка!AF51*I30/100,IF($K$10="Судовладелец",Подложка!AK51*I30/100,IF($K$10="Прочие",Подложка!AP51*I30/100,IF($K$10="ИТ",Подложка!AU51*I30/100,0))))))))))),0)</f>
        <v>5</v>
      </c>
      <c r="L30" s="352">
        <f>'РСБУ отчетность'!F85</f>
        <v>34.086001453901829</v>
      </c>
      <c r="M30" s="230">
        <f>IF(L30="",0,IF($K$10="Строительство",Подложка!G61*I30/100,IF($K$10="Добыча, переработка и транспортировка газа, нефти и нефтепродуктов",Подложка!L61*I30/100,IF($K$10="Транспортировка и хранение",Подложка!Q61*I30/100,IF($K$10="Торговля",Подложка!V61*I30/100,IF($K$10="Производство",Подложка!AA61*I30/100,IF($K$10="Авиакомпания",Подложка!AF61*I30/100,IF($K$10="Судовладелец",Подложка!AK61*I30/100,IF($K$10="Прочие",Подложка!AP61*I30/100,IF($K$10="ИТ",Подложка!AU61*I30/100,0))))))))))</f>
        <v>5</v>
      </c>
      <c r="N30" s="275" t="s">
        <v>102</v>
      </c>
    </row>
    <row r="31" spans="2:19" ht="15.75" customHeight="1" x14ac:dyDescent="0.2">
      <c r="B31" s="76" t="s">
        <v>247</v>
      </c>
      <c r="C31" s="59"/>
      <c r="D31" s="59"/>
      <c r="E31" s="59"/>
      <c r="F31" s="59"/>
      <c r="I31" s="184">
        <v>5</v>
      </c>
      <c r="J31" s="292">
        <f>'РСБУ отчетность'!E86</f>
        <v>0.68527448677635061</v>
      </c>
      <c r="K31" s="228">
        <f>ROUND(IF(J24="",0,IF(OR(J31="",J31&lt;0),0,IF($K$10="Строительство",Подложка!G52*I31/100,IF($K$10="Добыча, переработка и транспортировка газа, нефти и нефтепродуктов",Подложка!L52*I31/100,IF($K$10="Транспортировка и хранение",Подложка!Q52*I31/100,IF($K$10="Торговля",Подложка!V52*I31/100,IF($K$10="Производство",Подложка!AA52*I31/100,IF($K$10="Авиакомпания",Подложка!AF52*I31/100,IF($K$10="Судовладелец",Подложка!AK52*I31/100,IF($K$10="Прочие",Подложка!AP52*I31/100,IF($K$10="ИТ",Подложка!AU52*I31/100,0))))))))))),0)</f>
        <v>5</v>
      </c>
      <c r="L31" s="185">
        <f>'РСБУ отчетность'!F86</f>
        <v>0.65401698481887871</v>
      </c>
      <c r="M31" s="230">
        <f>IF(L31="",0,IF($K$10="Строительство",Подложка!G62*I31/100,IF($K$10="Добыча, переработка и транспортировка газа, нефти и нефтепродуктов",Подложка!L62*I31/100,IF($K$10="Транспортировка и хранение",Подложка!Q62*I31/100,IF($K$10="Торговля",Подложка!V62*I31/100,IF($K$10="Производство",Подложка!AA62*I31/100,IF($K$10="Авиакомпания",Подложка!AF62*I31/100,IF($K$10="Судовладелец",Подложка!AK62*I31/100,IF($K$10="Прочие",Подложка!AP62*I31/100,IF($K$10="ИТ",Подложка!AU62*I31/100,0))))))))))</f>
        <v>5</v>
      </c>
      <c r="N31" s="275" t="s">
        <v>102</v>
      </c>
    </row>
    <row r="32" spans="2:19" ht="15.75" customHeight="1" x14ac:dyDescent="0.2">
      <c r="B32" s="76" t="s">
        <v>255</v>
      </c>
      <c r="C32" s="59"/>
      <c r="D32" s="59"/>
      <c r="E32" s="59"/>
      <c r="F32" s="59"/>
      <c r="I32" s="184">
        <v>4</v>
      </c>
      <c r="J32" s="351">
        <f>'РСБУ отчетность'!E87</f>
        <v>26.007658916203187</v>
      </c>
      <c r="K32" s="228">
        <f>ROUND(IF(J32="",0,IF(OR(J32="",J32&lt;0),0,IF($K$10="Строительство",Подложка!G53*I32/100,IF($K$10="Добыча, переработка и транспортировка газа, нефти и нефтепродуктов",Подложка!L53*I32/100,IF($K$10="Транспортировка и хранение",Подложка!Q53*I32/100,IF($K$10="Торговля",Подложка!V53*I32/100,IF($K$10="Производство",Подложка!AA53*I32/100,IF($K$10="Авиакомпания",Подложка!AF53*I32/100,IF($K$10="Судовладелец",Подложка!AK53*I32/100,IF($K$10="Прочие",Подложка!AP53*I32/100,IF($K$10="ИТ",Подложка!AU53*I32/100,0))))))))))),0)</f>
        <v>3</v>
      </c>
      <c r="L32" s="352">
        <f>'РСБУ отчетность'!F87</f>
        <v>65.990770714054079</v>
      </c>
      <c r="M32" s="230">
        <f>IF(L32="",0,IF($K$10="Строительство",Подложка!G63*I32/100,IF($K$10="Добыча, переработка и транспортировка газа, нефти и нефтепродуктов",Подложка!L63*I32/100,IF($K$10="Транспортировка и хранение",Подложка!Q63*I32/100,IF($K$10="Торговля",Подложка!V63*I32/100,IF($K$10="Производство",Подложка!AA63*I32/100,IF($K$10="Авиакомпания",Подложка!AF63*I32/100,IF($K$10="Судовладелец",Подложка!AK63*I32/100,IF($K$10="Прочие",Подложка!AP63*I32/100,IF($K$10="ИТ",Подложка!AU63*I32/100,0))))))))))</f>
        <v>4</v>
      </c>
      <c r="N32" s="275" t="s">
        <v>102</v>
      </c>
    </row>
    <row r="33" spans="2:15" ht="15.75" customHeight="1" x14ac:dyDescent="0.2">
      <c r="B33" s="76" t="s">
        <v>248</v>
      </c>
      <c r="C33" s="59"/>
      <c r="D33" s="59"/>
      <c r="E33" s="59"/>
      <c r="F33" s="59"/>
      <c r="G33" s="6"/>
      <c r="H33" s="6"/>
      <c r="I33" s="184">
        <v>3</v>
      </c>
      <c r="J33" s="292" t="str">
        <f>'РСБУ отчетность'!E88</f>
        <v>Рост</v>
      </c>
      <c r="K33" s="228">
        <f>VLOOKUP(J33,Подложка!$AD$3:$AE$6,2,0)</f>
        <v>3</v>
      </c>
      <c r="L33" s="185" t="str">
        <f>'РСБУ отчетность'!F88</f>
        <v>На прежнем уровне</v>
      </c>
      <c r="M33" s="230">
        <f>VLOOKUP(L33,Подложка!$AD$3:$AE$6,2,0)</f>
        <v>0</v>
      </c>
      <c r="N33" s="275" t="s">
        <v>102</v>
      </c>
    </row>
    <row r="34" spans="2:15" ht="15.75" customHeight="1" x14ac:dyDescent="0.2">
      <c r="B34" s="97" t="s">
        <v>249</v>
      </c>
      <c r="C34" s="83"/>
      <c r="D34" s="83"/>
      <c r="E34" s="83"/>
      <c r="F34" s="83"/>
      <c r="G34" s="216"/>
      <c r="H34" s="216"/>
      <c r="I34" s="186">
        <v>3</v>
      </c>
      <c r="J34" s="256" t="str">
        <f>'РСБУ отчетность'!E89</f>
        <v>Снижение</v>
      </c>
      <c r="K34" s="228">
        <f>VLOOKUP(J34,Подложка!$AD$3:$AE$6,2,0)</f>
        <v>-3</v>
      </c>
      <c r="L34" s="257" t="str">
        <f>'РСБУ отчетность'!F89</f>
        <v>Снижение</v>
      </c>
      <c r="M34" s="230">
        <f>VLOOKUP(L34,Подложка!$AD$3:$AE$6,2,0)</f>
        <v>-3</v>
      </c>
      <c r="N34" s="275" t="s">
        <v>102</v>
      </c>
    </row>
    <row r="35" spans="2:15" ht="15.75" customHeight="1" x14ac:dyDescent="0.2">
      <c r="B35" s="249" t="s">
        <v>115</v>
      </c>
      <c r="C35" s="80"/>
      <c r="D35" s="80"/>
      <c r="E35" s="80"/>
      <c r="F35" s="80"/>
      <c r="I35" s="187">
        <f>SUM(I24:I34)</f>
        <v>65</v>
      </c>
      <c r="J35" s="188"/>
      <c r="K35" s="261">
        <f>SUM(K24:K34)</f>
        <v>49</v>
      </c>
      <c r="L35" s="252"/>
      <c r="M35" s="261">
        <f>SUM(M24:M34)</f>
        <v>45</v>
      </c>
      <c r="N35" s="275" t="s">
        <v>102</v>
      </c>
    </row>
    <row r="36" spans="2:15" ht="9.9499999999999993" customHeight="1" x14ac:dyDescent="0.25">
      <c r="B36" s="63"/>
      <c r="C36" s="63"/>
      <c r="D36" s="63"/>
      <c r="E36" s="63"/>
      <c r="F36" s="63"/>
      <c r="G36" s="63"/>
      <c r="H36" s="64"/>
      <c r="I36" s="64"/>
      <c r="J36" s="64"/>
      <c r="K36" s="64"/>
      <c r="L36" s="64"/>
      <c r="M36" s="64"/>
      <c r="N36" s="316"/>
    </row>
    <row r="37" spans="2:15" ht="18" customHeight="1" x14ac:dyDescent="0.2">
      <c r="B37" s="118" t="s">
        <v>114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275"/>
    </row>
    <row r="38" spans="2:15" ht="4.5" customHeight="1" x14ac:dyDescent="0.25">
      <c r="B38" s="7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75"/>
    </row>
    <row r="39" spans="2:15" ht="12.75" customHeight="1" x14ac:dyDescent="0.2">
      <c r="B39" s="11"/>
      <c r="C39" s="11"/>
      <c r="D39" s="11"/>
      <c r="E39" s="11"/>
      <c r="F39" s="11"/>
      <c r="I39" s="11"/>
      <c r="J39" s="251">
        <f>'РСБУ отчетность'!E5</f>
        <v>46022</v>
      </c>
      <c r="K39" s="251"/>
      <c r="L39" s="251">
        <f>'РСБУ отчетность'!F5</f>
        <v>45657</v>
      </c>
      <c r="M39" s="251"/>
      <c r="N39" s="275" t="s">
        <v>102</v>
      </c>
    </row>
    <row r="40" spans="2:15" ht="18" customHeight="1" x14ac:dyDescent="0.25">
      <c r="B40" s="88" t="s">
        <v>3</v>
      </c>
      <c r="C40" s="92"/>
      <c r="D40" s="92"/>
      <c r="E40" s="92"/>
      <c r="F40" s="117"/>
      <c r="I40" s="120" t="s">
        <v>182</v>
      </c>
      <c r="J40" s="353" t="s">
        <v>98</v>
      </c>
      <c r="K40" s="142" t="s">
        <v>135</v>
      </c>
      <c r="L40" s="353" t="s">
        <v>98</v>
      </c>
      <c r="M40" s="259" t="s">
        <v>135</v>
      </c>
      <c r="N40" s="275"/>
    </row>
    <row r="41" spans="2:15" ht="15.75" customHeight="1" x14ac:dyDescent="0.2">
      <c r="B41" s="76" t="s">
        <v>116</v>
      </c>
      <c r="C41" s="69"/>
      <c r="D41" s="69"/>
      <c r="E41" s="69"/>
      <c r="F41" s="69"/>
      <c r="I41" s="90">
        <v>5</v>
      </c>
      <c r="J41" s="181" t="s">
        <v>83</v>
      </c>
      <c r="K41" s="230">
        <f>IF($J$41="более 3-х лет",100*I41/100,IF($J$41="от 1 до 3-х лет",70*I41/100,IF($J$41="менее 1 года",40*I41/100,0)))</f>
        <v>5</v>
      </c>
      <c r="L41" s="181" t="s">
        <v>83</v>
      </c>
      <c r="M41" s="230">
        <f>IF($L$41="более 3-х лет",100*I41/100,IF($L$41="от 1 до 3-х лет",70*I41/100,IF($L$41="менее 1 года",40*I41/100,0)))</f>
        <v>5</v>
      </c>
      <c r="N41" s="275" t="s">
        <v>208</v>
      </c>
    </row>
    <row r="42" spans="2:15" ht="15.75" customHeight="1" x14ac:dyDescent="0.2">
      <c r="B42" s="97" t="s">
        <v>117</v>
      </c>
      <c r="C42" s="98"/>
      <c r="D42" s="98"/>
      <c r="E42" s="98"/>
      <c r="F42" s="98"/>
      <c r="G42" s="216"/>
      <c r="H42" s="216"/>
      <c r="I42" s="293">
        <v>15</v>
      </c>
      <c r="J42" s="182" t="s">
        <v>88</v>
      </c>
      <c r="K42" s="229">
        <f>IF(OR(J42="ПДЗ отсутствовала",J42="Техническая ПДЗ"),15,IF(J42="Разовая ПДЗ продолжительностью менее 30 дней",10,IF(J42="Разовая ПДЗ продолжительностью более 30 дней",7.5,IF(J42="Неоднократное возникновение ПДЗ",3.5,IF(J42="Информация отсутствует",3.5,0)))))</f>
        <v>15</v>
      </c>
      <c r="L42" s="182" t="s">
        <v>88</v>
      </c>
      <c r="M42" s="260">
        <f>IF(OR(L42="ПДЗ отсутствовала",L42="Техническая ПДЗ"),15,IF(L42="Разовая ПДЗ продолжительностью менее 30 дней",10,IF(L42="Разовая ПДЗ продолжительностью более 30 дней",7.5,IF(L42="Неоднократное возникновение ПДЗ",3.5,IF(L42="Информация отсутствует",3.5,0)))))</f>
        <v>15</v>
      </c>
      <c r="N42" s="275" t="s">
        <v>208</v>
      </c>
    </row>
    <row r="43" spans="2:15" ht="15.75" customHeight="1" x14ac:dyDescent="0.25">
      <c r="B43" s="249" t="s">
        <v>115</v>
      </c>
      <c r="C43" s="80"/>
      <c r="D43" s="80"/>
      <c r="E43" s="80"/>
      <c r="F43" s="80"/>
      <c r="I43" s="96">
        <v>20</v>
      </c>
      <c r="J43" s="57"/>
      <c r="K43" s="350">
        <f>SUM(K41:K42)</f>
        <v>20</v>
      </c>
      <c r="L43" s="183"/>
      <c r="M43" s="350">
        <f>SUM(M41:M42)</f>
        <v>20</v>
      </c>
      <c r="N43" s="275" t="s">
        <v>102</v>
      </c>
      <c r="O43" s="16"/>
    </row>
    <row r="44" spans="2:15" ht="9.9499999999999993" customHeight="1" x14ac:dyDescent="0.2">
      <c r="B44" s="5"/>
      <c r="C44" s="5"/>
      <c r="D44" s="5"/>
      <c r="E44" s="5"/>
      <c r="F44" s="5"/>
      <c r="G44" s="5"/>
      <c r="H44" s="6"/>
      <c r="I44" s="6"/>
      <c r="J44" s="6"/>
      <c r="K44" s="6"/>
      <c r="L44" s="5"/>
      <c r="M44" s="5"/>
      <c r="N44" s="316"/>
    </row>
    <row r="45" spans="2:15" s="51" customFormat="1" ht="18" customHeight="1" x14ac:dyDescent="0.25">
      <c r="B45" s="118" t="s">
        <v>118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275"/>
    </row>
    <row r="46" spans="2:15" ht="6" customHeight="1" x14ac:dyDescent="0.25">
      <c r="B46" s="81"/>
      <c r="C46" s="57"/>
      <c r="D46" s="57"/>
      <c r="E46" s="57"/>
      <c r="F46" s="57"/>
      <c r="G46" s="57"/>
      <c r="H46" s="82"/>
      <c r="I46" s="82"/>
      <c r="J46" s="82"/>
      <c r="K46" s="82"/>
      <c r="L46" s="82"/>
      <c r="M46" s="82"/>
      <c r="N46" s="316"/>
    </row>
    <row r="47" spans="2:15" ht="6" customHeight="1" x14ac:dyDescent="0.25">
      <c r="B47" s="81"/>
      <c r="C47" s="57"/>
      <c r="D47" s="57"/>
      <c r="E47" s="57"/>
      <c r="F47" s="57"/>
      <c r="G47" s="57"/>
      <c r="H47" s="82"/>
      <c r="I47" s="82"/>
      <c r="J47" s="82"/>
      <c r="K47" s="82"/>
      <c r="L47" s="82"/>
      <c r="M47" s="82"/>
      <c r="N47" s="316"/>
    </row>
    <row r="48" spans="2:15" ht="12.75" customHeight="1" x14ac:dyDescent="0.25">
      <c r="B48" s="81"/>
      <c r="C48" s="57"/>
      <c r="D48" s="57"/>
      <c r="E48" s="57"/>
      <c r="F48" s="57"/>
      <c r="I48" s="57"/>
      <c r="J48" s="251">
        <f>'РСБУ отчетность'!E5</f>
        <v>46022</v>
      </c>
      <c r="K48" s="251"/>
      <c r="L48" s="82"/>
      <c r="M48" s="82"/>
      <c r="N48" s="275"/>
    </row>
    <row r="49" spans="2:14" ht="18" customHeight="1" x14ac:dyDescent="0.2">
      <c r="B49" s="79" t="s">
        <v>121</v>
      </c>
      <c r="C49" s="5"/>
      <c r="D49" s="5"/>
      <c r="E49" s="5"/>
      <c r="F49" s="84"/>
      <c r="I49" s="120" t="s">
        <v>182</v>
      </c>
      <c r="J49" s="353" t="s">
        <v>98</v>
      </c>
      <c r="K49" s="142" t="s">
        <v>135</v>
      </c>
      <c r="L49" s="365" t="s">
        <v>136</v>
      </c>
      <c r="M49" s="366"/>
      <c r="N49" s="316"/>
    </row>
    <row r="50" spans="2:14" ht="15.75" customHeight="1" x14ac:dyDescent="0.2">
      <c r="B50" s="87" t="s">
        <v>119</v>
      </c>
      <c r="C50" s="86"/>
      <c r="D50" s="86"/>
      <c r="E50" s="86"/>
      <c r="F50" s="86"/>
      <c r="I50" s="91">
        <v>5</v>
      </c>
      <c r="J50" s="268" t="str">
        <f ca="1">IF(OR(L50="",L50=0),"Информация отсутствует",IF(L50&gt;TODAY(),"Информация некорректна",IF(TODAY()-L50&lt;730,"Менее 2 лет",IF(TODAY()-L50&lt;1825,"От 2 до 5-и лет","Более 5 лет"))))</f>
        <v>Более 5 лет</v>
      </c>
      <c r="K50" s="228">
        <f>IF(OR(L50="Информация отсутствует",L50="Информация некорректна"),0,IF(L50="Менее 2 лет",40*I50/100,IF(L50="От 2 до 5-и лет",70*I50/100,100*I50/100)))</f>
        <v>5</v>
      </c>
      <c r="L50" s="364">
        <v>34928</v>
      </c>
      <c r="M50" s="364"/>
      <c r="N50" s="275" t="s">
        <v>125</v>
      </c>
    </row>
    <row r="51" spans="2:14" ht="15.75" customHeight="1" x14ac:dyDescent="0.2">
      <c r="B51" s="89" t="s">
        <v>120</v>
      </c>
      <c r="C51" s="86"/>
      <c r="D51" s="86"/>
      <c r="E51" s="86"/>
      <c r="F51" s="86"/>
      <c r="I51" s="91">
        <v>10</v>
      </c>
      <c r="J51" s="146" t="s">
        <v>129</v>
      </c>
      <c r="K51" s="228">
        <f>IF(J51="Информация отсутствует",0.001,IF(J51="Низкий",100*I51/100,IF(J51="Средний",50*I51/100,0)))</f>
        <v>10</v>
      </c>
      <c r="N51" s="275" t="s">
        <v>144</v>
      </c>
    </row>
    <row r="52" spans="2:14" ht="21.75" customHeight="1" x14ac:dyDescent="0.25">
      <c r="B52" s="88" t="s">
        <v>242</v>
      </c>
      <c r="C52" s="86"/>
      <c r="D52" s="86"/>
      <c r="E52" s="86"/>
      <c r="F52" s="86"/>
      <c r="I52" s="143"/>
      <c r="J52" s="145"/>
      <c r="K52" s="231"/>
      <c r="L52" s="85"/>
      <c r="M52" s="86"/>
      <c r="N52" s="275"/>
    </row>
    <row r="53" spans="2:14" s="6" customFormat="1" ht="25.5" customHeight="1" x14ac:dyDescent="0.2">
      <c r="B53" s="339" t="s">
        <v>241</v>
      </c>
      <c r="C53" s="65"/>
      <c r="D53" s="65"/>
      <c r="E53" s="65"/>
      <c r="F53" s="65"/>
      <c r="I53" s="340">
        <v>-5</v>
      </c>
      <c r="J53" s="341" t="s">
        <v>133</v>
      </c>
      <c r="K53" s="230">
        <f>IF(J53="",-0.000001,IF(J53="Информация отсутствует",-0.000001,IF(J53="Включен в реестр",100*I53/100,0)))</f>
        <v>0</v>
      </c>
      <c r="L53" s="362"/>
      <c r="M53" s="363"/>
      <c r="N53" s="275" t="s">
        <v>144</v>
      </c>
    </row>
    <row r="54" spans="2:14" ht="15.75" customHeight="1" x14ac:dyDescent="0.2">
      <c r="B54" s="249" t="s">
        <v>115</v>
      </c>
      <c r="C54" s="294"/>
      <c r="D54" s="294"/>
      <c r="E54" s="294"/>
      <c r="F54" s="294"/>
      <c r="I54" s="93">
        <v>15</v>
      </c>
      <c r="J54" s="144"/>
      <c r="K54" s="350">
        <f>IF(ROUND(SUM(K50:K51,II53),2)&lt;0,0,ROUND(SUM(K50:K51,K53),2))</f>
        <v>15</v>
      </c>
      <c r="L54" s="67"/>
      <c r="M54" s="66"/>
      <c r="N54" s="275" t="s">
        <v>102</v>
      </c>
    </row>
    <row r="55" spans="2:14" ht="9.9499999999999993" customHeight="1" x14ac:dyDescent="0.2">
      <c r="B55" s="80"/>
      <c r="C55" s="80"/>
      <c r="D55" s="80"/>
      <c r="E55" s="80"/>
      <c r="F55" s="80"/>
      <c r="G55" s="202"/>
      <c r="H55" s="65"/>
      <c r="I55" s="65"/>
      <c r="J55" s="65"/>
      <c r="K55" s="67"/>
      <c r="L55" s="67"/>
      <c r="M55" s="66"/>
      <c r="N55" s="275"/>
    </row>
    <row r="56" spans="2:14" ht="7.5" customHeight="1" x14ac:dyDescent="0.2">
      <c r="B56" s="80"/>
      <c r="C56" s="80"/>
      <c r="D56" s="80"/>
      <c r="E56" s="80"/>
      <c r="F56" s="80"/>
      <c r="G56" s="202"/>
      <c r="H56" s="65"/>
      <c r="I56" s="65"/>
      <c r="J56" s="65"/>
      <c r="K56" s="67"/>
      <c r="L56" s="11"/>
      <c r="M56" s="247"/>
      <c r="N56" s="275"/>
    </row>
    <row r="57" spans="2:14" ht="14.25" customHeight="1" x14ac:dyDescent="0.2">
      <c r="B57" s="80"/>
      <c r="C57" s="80"/>
      <c r="D57" s="80"/>
      <c r="E57" s="80"/>
      <c r="F57" s="80"/>
      <c r="I57" s="202"/>
      <c r="J57" s="251">
        <f>'РСБУ отчетность'!E5</f>
        <v>46022</v>
      </c>
      <c r="K57" s="251"/>
      <c r="L57" s="251">
        <f>'РСБУ отчетность'!F5</f>
        <v>45657</v>
      </c>
      <c r="M57" s="251"/>
      <c r="N57" s="275" t="s">
        <v>102</v>
      </c>
    </row>
    <row r="58" spans="2:14" ht="15.75" customHeight="1" x14ac:dyDescent="0.25">
      <c r="B58" s="108" t="s">
        <v>122</v>
      </c>
      <c r="C58" s="109"/>
      <c r="D58" s="110"/>
      <c r="E58" s="110"/>
      <c r="F58" s="110"/>
      <c r="G58" s="110"/>
      <c r="H58" s="110"/>
      <c r="I58" s="110">
        <f>SUM(I35,I43,I54)</f>
        <v>100</v>
      </c>
      <c r="J58" s="111">
        <f>IF(LEFT(H11,2)="Да",0,SUM(K35,K43,K54))</f>
        <v>84</v>
      </c>
      <c r="K58" s="112" t="s">
        <v>101</v>
      </c>
      <c r="L58" s="111">
        <f>IF(LEFT(H11,2)="Да",0,SUM(M35,M43,K54))</f>
        <v>80</v>
      </c>
      <c r="M58" s="248" t="s">
        <v>101</v>
      </c>
      <c r="N58" s="275" t="s">
        <v>102</v>
      </c>
    </row>
    <row r="59" spans="2:14" ht="4.5" customHeight="1" x14ac:dyDescent="0.25">
      <c r="B59" s="100"/>
      <c r="C59" s="101"/>
      <c r="D59" s="101"/>
      <c r="E59" s="101"/>
      <c r="F59" s="101"/>
      <c r="I59" s="101"/>
      <c r="J59" s="102"/>
      <c r="K59" s="102"/>
      <c r="L59" s="102"/>
      <c r="M59" s="67"/>
      <c r="N59" s="275"/>
    </row>
    <row r="60" spans="2:14" ht="15.75" customHeight="1" x14ac:dyDescent="0.25">
      <c r="B60" s="99" t="s">
        <v>123</v>
      </c>
      <c r="C60" s="11"/>
      <c r="D60" s="11"/>
      <c r="E60" s="11"/>
      <c r="F60" s="11"/>
      <c r="I60" s="11"/>
      <c r="J60" s="389">
        <f>IF(LEFT(H11,2)="Да",4,IF($K$10="Строительство",Подложка!G82,IF($K$10="Добыча, переработка и транспортировка газа, нефти и нефтепродуктов",Подложка!L82,IF($K$10="Транспортировка и хранение",Подложка!Q82,IF($K$10="Торговля",Подложка!V82,IF($K$10="Производство",Подложка!AA82,IF($K$10="Авиакомпания",Подложка!AF82,IF($K$10="Судовладелец",Подложка!AK82,IF($K$10="Прочие",Подложка!AP82,IF($K$10="ИТ",Подложка!AU82,0))))))))))</f>
        <v>1</v>
      </c>
      <c r="K60" s="390"/>
      <c r="L60" s="389">
        <f>IF(LEFT(H11,2)="Да",4,IF($K$10="Строительство",Подложка!G83,IF($K$10="Добыча, переработка и транспортировка газа, нефти и нефтепродуктов",Подложка!L83,IF($K$10="Транспортировка и хранение",Подложка!Q83,IF($K$10="Торговля",Подложка!V83,IF($K$10="Производство",Подложка!AA83,IF($K$10="Авиакомпания",Подложка!AF83,IF($K$10="Судовладелец",Подложка!AK83,IF($K$10="Прочие",Подложка!AP83,IF($K$10="ИТ",Подложка!AU83,0))))))))))</f>
        <v>1</v>
      </c>
      <c r="M60" s="391"/>
      <c r="N60" s="275" t="s">
        <v>102</v>
      </c>
    </row>
    <row r="61" spans="2:14" ht="15.75" customHeight="1" x14ac:dyDescent="0.25">
      <c r="B61" s="99" t="s">
        <v>124</v>
      </c>
      <c r="C61" s="11"/>
      <c r="D61" s="11"/>
      <c r="E61" s="11"/>
      <c r="F61" s="11"/>
      <c r="I61" s="11"/>
      <c r="J61" s="392" t="s">
        <v>152</v>
      </c>
      <c r="K61" s="393"/>
      <c r="L61" s="392" t="s">
        <v>152</v>
      </c>
      <c r="M61" s="394"/>
      <c r="N61" s="275" t="s">
        <v>145</v>
      </c>
    </row>
    <row r="62" spans="2:14" ht="7.5" customHeight="1" x14ac:dyDescent="0.2">
      <c r="B62" s="80"/>
      <c r="C62" s="80"/>
      <c r="D62" s="80"/>
      <c r="E62" s="80"/>
      <c r="F62" s="80"/>
      <c r="G62" s="202"/>
      <c r="H62" s="381"/>
      <c r="I62" s="381"/>
      <c r="J62" s="381"/>
      <c r="K62" s="381"/>
      <c r="L62" s="381"/>
      <c r="M62" s="381"/>
      <c r="N62" s="275"/>
    </row>
    <row r="63" spans="2:14" ht="10.5" customHeight="1" x14ac:dyDescent="0.2">
      <c r="B63" s="80"/>
      <c r="C63" s="80"/>
      <c r="D63" s="80"/>
      <c r="E63" s="80"/>
      <c r="F63" s="80"/>
      <c r="G63" s="202"/>
      <c r="H63" s="348"/>
      <c r="I63" s="348"/>
      <c r="J63" s="348"/>
      <c r="K63" s="348"/>
      <c r="L63" s="348"/>
      <c r="M63" s="348"/>
      <c r="N63" s="275"/>
    </row>
    <row r="64" spans="2:14" ht="18" customHeight="1" x14ac:dyDescent="0.2">
      <c r="B64" s="141" t="s">
        <v>335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316"/>
    </row>
    <row r="65" spans="2:20" ht="4.5" customHeight="1" x14ac:dyDescent="0.2">
      <c r="B65" s="80"/>
      <c r="C65" s="80"/>
      <c r="D65" s="80"/>
      <c r="E65" s="80"/>
      <c r="F65" s="80"/>
      <c r="G65" s="202"/>
      <c r="H65" s="348"/>
      <c r="I65" s="348"/>
      <c r="J65" s="348"/>
      <c r="K65" s="348"/>
      <c r="L65" s="348"/>
      <c r="M65" s="348"/>
      <c r="N65" s="275"/>
    </row>
    <row r="66" spans="2:20" ht="18" customHeight="1" x14ac:dyDescent="0.2">
      <c r="B66" s="87"/>
      <c r="C66" s="80"/>
      <c r="D66" s="80"/>
      <c r="E66" s="80"/>
      <c r="F66" s="80"/>
      <c r="I66" s="120" t="s">
        <v>182</v>
      </c>
      <c r="J66" s="353" t="s">
        <v>98</v>
      </c>
      <c r="K66" s="344" t="s">
        <v>135</v>
      </c>
      <c r="L66" s="280"/>
      <c r="M66" s="280"/>
      <c r="N66" s="275"/>
    </row>
    <row r="67" spans="2:20" ht="17.25" customHeight="1" x14ac:dyDescent="0.2">
      <c r="B67" s="338" t="s">
        <v>326</v>
      </c>
      <c r="C67" s="80"/>
      <c r="D67" s="80"/>
      <c r="E67" s="80"/>
      <c r="F67" s="80"/>
      <c r="G67" s="6"/>
      <c r="H67" s="6"/>
      <c r="I67" s="296">
        <v>10</v>
      </c>
      <c r="J67" s="337" t="s">
        <v>272</v>
      </c>
      <c r="K67" s="295">
        <f>VLOOKUP(J67,Подложка!X3:Z28,2,0)</f>
        <v>10</v>
      </c>
      <c r="L67" s="280"/>
      <c r="M67" s="280"/>
      <c r="N67" s="275" t="s">
        <v>145</v>
      </c>
    </row>
    <row r="68" spans="2:20" ht="17.25" customHeight="1" x14ac:dyDescent="0.2">
      <c r="B68" s="342" t="s">
        <v>325</v>
      </c>
      <c r="C68" s="245"/>
      <c r="D68" s="245"/>
      <c r="E68" s="245"/>
      <c r="F68" s="245"/>
      <c r="G68" s="216"/>
      <c r="H68" s="216"/>
      <c r="I68" s="277">
        <v>10</v>
      </c>
      <c r="J68" s="343" t="s">
        <v>279</v>
      </c>
      <c r="K68" s="229">
        <f>VLOOKUP(J68,Подложка!X3:Z28,3,0)</f>
        <v>3</v>
      </c>
      <c r="L68" s="406"/>
      <c r="M68" s="406"/>
      <c r="N68" s="275" t="s">
        <v>145</v>
      </c>
    </row>
    <row r="69" spans="2:20" ht="14.25" customHeight="1" x14ac:dyDescent="0.2">
      <c r="B69" s="249" t="s">
        <v>301</v>
      </c>
      <c r="C69" s="80"/>
      <c r="D69" s="80"/>
      <c r="E69" s="80"/>
      <c r="F69" s="80"/>
      <c r="I69" s="93">
        <v>20</v>
      </c>
      <c r="J69" s="278"/>
      <c r="K69" s="350">
        <f>K67+K68</f>
        <v>13</v>
      </c>
      <c r="L69" s="348"/>
      <c r="M69" s="348"/>
      <c r="N69" s="275" t="s">
        <v>102</v>
      </c>
    </row>
    <row r="70" spans="2:20" ht="7.5" customHeight="1" x14ac:dyDescent="0.2">
      <c r="B70" s="249"/>
      <c r="C70" s="80"/>
      <c r="D70" s="80"/>
      <c r="E70" s="80"/>
      <c r="F70" s="80"/>
      <c r="G70" s="202"/>
      <c r="H70" s="348"/>
      <c r="I70" s="348"/>
      <c r="J70" s="348"/>
      <c r="K70" s="348"/>
      <c r="L70" s="348"/>
      <c r="M70" s="348"/>
      <c r="N70" s="275"/>
    </row>
    <row r="71" spans="2:20" ht="14.25" customHeight="1" x14ac:dyDescent="0.2">
      <c r="B71" s="141" t="s">
        <v>258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275"/>
    </row>
    <row r="72" spans="2:20" ht="4.5" customHeight="1" x14ac:dyDescent="0.2">
      <c r="B72" s="249"/>
      <c r="C72" s="80"/>
      <c r="D72" s="80"/>
      <c r="E72" s="80"/>
      <c r="F72" s="80"/>
      <c r="G72" s="202"/>
      <c r="H72" s="348"/>
      <c r="I72" s="348"/>
      <c r="J72" s="348"/>
      <c r="K72" s="348"/>
      <c r="L72" s="348"/>
      <c r="M72" s="348"/>
      <c r="N72" s="275"/>
    </row>
    <row r="73" spans="2:20" ht="18" customHeight="1" x14ac:dyDescent="0.2">
      <c r="B73" s="249"/>
      <c r="C73" s="80"/>
      <c r="D73" s="80"/>
      <c r="E73" s="80"/>
      <c r="F73" s="80"/>
      <c r="G73" s="202"/>
      <c r="J73" s="407" t="s">
        <v>98</v>
      </c>
      <c r="K73" s="408"/>
      <c r="L73" s="407" t="s">
        <v>269</v>
      </c>
      <c r="M73" s="413"/>
      <c r="N73" s="275"/>
    </row>
    <row r="74" spans="2:20" ht="15.95" customHeight="1" x14ac:dyDescent="0.2">
      <c r="B74" s="269" t="s">
        <v>256</v>
      </c>
      <c r="C74" s="80"/>
      <c r="D74" s="80"/>
      <c r="E74" s="80"/>
      <c r="F74" s="80"/>
      <c r="G74" s="202"/>
      <c r="J74" s="409" t="s">
        <v>270</v>
      </c>
      <c r="K74" s="410"/>
      <c r="L74" s="414">
        <f>VLOOKUP(J74,Подложка!Q3:R7,2,0)</f>
        <v>0</v>
      </c>
      <c r="M74" s="415"/>
      <c r="N74" s="275" t="s">
        <v>145</v>
      </c>
    </row>
    <row r="75" spans="2:20" ht="15.95" customHeight="1" x14ac:dyDescent="0.2">
      <c r="B75" s="250" t="s">
        <v>257</v>
      </c>
      <c r="C75" s="245"/>
      <c r="D75" s="245"/>
      <c r="E75" s="245"/>
      <c r="F75" s="245"/>
      <c r="G75" s="246"/>
      <c r="H75" s="216"/>
      <c r="I75" s="217"/>
      <c r="J75" s="411" t="s">
        <v>270</v>
      </c>
      <c r="K75" s="412"/>
      <c r="L75" s="416">
        <f>VLOOKUP(J75,Подложка!S2:T5,2,0)</f>
        <v>0</v>
      </c>
      <c r="M75" s="417"/>
      <c r="N75" s="275" t="s">
        <v>145</v>
      </c>
    </row>
    <row r="76" spans="2:20" ht="14.25" customHeight="1" x14ac:dyDescent="0.2">
      <c r="B76" s="249" t="s">
        <v>331</v>
      </c>
      <c r="C76" s="80"/>
      <c r="D76" s="80"/>
      <c r="E76" s="80"/>
      <c r="F76" s="80"/>
      <c r="G76" s="202"/>
      <c r="J76" s="276"/>
      <c r="K76" s="302"/>
      <c r="L76" s="418">
        <f>MAX(K74:M75)</f>
        <v>0</v>
      </c>
      <c r="M76" s="419"/>
      <c r="N76" s="275" t="s">
        <v>102</v>
      </c>
    </row>
    <row r="77" spans="2:20" ht="9.9499999999999993" customHeight="1" x14ac:dyDescent="0.25">
      <c r="B77" s="100"/>
      <c r="C77" s="101"/>
      <c r="D77" s="101"/>
      <c r="E77" s="101"/>
      <c r="F77" s="101"/>
      <c r="G77" s="101"/>
      <c r="I77" s="102"/>
      <c r="J77" s="102"/>
      <c r="K77" s="67"/>
      <c r="L77" s="67"/>
      <c r="M77" s="66"/>
      <c r="N77" s="275"/>
    </row>
    <row r="78" spans="2:20" ht="18" customHeight="1" x14ac:dyDescent="0.2">
      <c r="B78" s="118" t="str">
        <f>"6. РАСЧЕТ КРЕДИТНОГО ЛИМИТА И АВАНСОВОГО ПЛАТЕЖА"&amp;", "&amp;'РСБУ отчетность'!C2&amp;'РСБУ отчетность'!C3</f>
        <v>6. РАСЧЕТ КРЕДИТНОГО ЛИМИТА И АВАНСОВОГО ПЛАТЕЖА, тыс. руб.</v>
      </c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316"/>
    </row>
    <row r="79" spans="2:20" ht="18.75" customHeight="1" x14ac:dyDescent="0.25">
      <c r="J79" s="297">
        <f>J22</f>
        <v>46022</v>
      </c>
      <c r="K79" s="297"/>
      <c r="L79" s="297">
        <f>L22</f>
        <v>45657</v>
      </c>
      <c r="M79" s="297"/>
      <c r="N79" s="316"/>
    </row>
    <row r="80" spans="2:20" ht="15.75" customHeight="1" x14ac:dyDescent="0.2">
      <c r="B80" s="76" t="str">
        <f>"Внеоборотные активы (ОС+НС), "&amp;'РСБУ отчетность'!C2&amp;'РСБУ отчетность'!C3</f>
        <v>Внеоборотные активы (ОС+НС), тыс. руб.</v>
      </c>
      <c r="C80" s="6"/>
      <c r="D80" s="6"/>
      <c r="E80" s="6"/>
      <c r="F80" s="6"/>
      <c r="G80" s="6"/>
      <c r="H80" s="6"/>
      <c r="I80" s="6"/>
      <c r="J80" s="370">
        <f>'РСБУ отчетность'!E12</f>
        <v>173805</v>
      </c>
      <c r="K80" s="371"/>
      <c r="L80" s="370">
        <f>'РСБУ отчетность'!F12</f>
        <v>119413</v>
      </c>
      <c r="M80" s="377"/>
      <c r="N80" s="275" t="s">
        <v>102</v>
      </c>
      <c r="R80" s="13"/>
      <c r="S80" s="13"/>
      <c r="T80" s="13"/>
    </row>
    <row r="81" spans="2:14" ht="15.75" customHeight="1" x14ac:dyDescent="0.2">
      <c r="B81" s="97" t="str">
        <f>"Чистые активы (ЧА), "&amp;'РСБУ отчетность'!C2&amp;'РСБУ отчетность'!C3</f>
        <v>Чистые активы (ЧА), тыс. руб.</v>
      </c>
      <c r="C81" s="216"/>
      <c r="D81" s="216"/>
      <c r="E81" s="216"/>
      <c r="F81" s="216"/>
      <c r="G81" s="216"/>
      <c r="H81" s="216"/>
      <c r="I81" s="216"/>
      <c r="J81" s="375">
        <f>'РСБУ отчетность'!E76</f>
        <v>2211450</v>
      </c>
      <c r="K81" s="376"/>
      <c r="L81" s="375">
        <f>'РСБУ отчетность'!F76</f>
        <v>1899362</v>
      </c>
      <c r="M81" s="402"/>
      <c r="N81" s="275" t="s">
        <v>102</v>
      </c>
    </row>
    <row r="82" spans="2:14" ht="15.75" customHeight="1" x14ac:dyDescent="0.2">
      <c r="B82" s="289" t="s">
        <v>42</v>
      </c>
      <c r="C82" s="298"/>
      <c r="D82" s="298"/>
      <c r="E82" s="298"/>
      <c r="F82" s="298"/>
      <c r="G82" s="298"/>
      <c r="H82" s="216"/>
      <c r="I82" s="216"/>
      <c r="J82" s="368">
        <f>MIN(J80,J81)</f>
        <v>173805</v>
      </c>
      <c r="K82" s="369"/>
      <c r="L82" s="373">
        <f>MIN(L80,L81)</f>
        <v>119413</v>
      </c>
      <c r="M82" s="403"/>
      <c r="N82" s="275" t="s">
        <v>102</v>
      </c>
    </row>
    <row r="83" spans="2:14" ht="15.75" customHeight="1" x14ac:dyDescent="0.2">
      <c r="B83" s="95" t="str">
        <f>"Оборотные активы (ОА), "&amp;'РСБУ отчетность'!C2&amp;'РСБУ отчетность'!C3</f>
        <v>Оборотные активы (ОА), тыс. руб.</v>
      </c>
      <c r="J83" s="370">
        <f>'РСБУ отчетность'!E19</f>
        <v>2935952</v>
      </c>
      <c r="K83" s="371"/>
      <c r="L83" s="404">
        <f>'РСБУ отчетность'!F19</f>
        <v>2661200</v>
      </c>
      <c r="M83" s="405"/>
      <c r="N83" s="275" t="s">
        <v>102</v>
      </c>
    </row>
    <row r="84" spans="2:14" ht="15.75" customHeight="1" x14ac:dyDescent="0.2">
      <c r="B84" s="97" t="str">
        <f>"Краткосрочные обязательства (КО), "&amp;'РСБУ отчетность'!C2&amp;'РСБУ отчетность'!C3</f>
        <v>Краткосрочные обязательства (КО), тыс. руб.</v>
      </c>
      <c r="C84" s="216"/>
      <c r="D84" s="216"/>
      <c r="E84" s="216"/>
      <c r="F84" s="216"/>
      <c r="G84" s="216"/>
      <c r="H84" s="216"/>
      <c r="I84" s="217"/>
      <c r="J84" s="375">
        <f>'РСБУ отчетность'!E44</f>
        <v>920655</v>
      </c>
      <c r="K84" s="376"/>
      <c r="L84" s="375">
        <f>'РСБУ отчетность'!F44</f>
        <v>913174</v>
      </c>
      <c r="M84" s="402"/>
      <c r="N84" s="275" t="s">
        <v>102</v>
      </c>
    </row>
    <row r="85" spans="2:14" ht="15.75" customHeight="1" x14ac:dyDescent="0.2">
      <c r="B85" s="288" t="s">
        <v>43</v>
      </c>
      <c r="C85" s="121"/>
      <c r="D85" s="121"/>
      <c r="E85" s="121"/>
      <c r="F85" s="121"/>
      <c r="G85" s="121"/>
      <c r="H85" s="287"/>
      <c r="I85" s="299"/>
      <c r="J85" s="373">
        <f>J83-J84</f>
        <v>2015297</v>
      </c>
      <c r="K85" s="374"/>
      <c r="L85" s="373">
        <f>L83-L84</f>
        <v>1748026</v>
      </c>
      <c r="M85" s="403"/>
      <c r="N85" s="275" t="s">
        <v>102</v>
      </c>
    </row>
    <row r="86" spans="2:14" x14ac:dyDescent="0.2">
      <c r="B86" s="301" t="s">
        <v>304</v>
      </c>
      <c r="C86" s="287"/>
      <c r="D86" s="287"/>
      <c r="E86" s="287"/>
      <c r="F86" s="287"/>
      <c r="G86" s="287"/>
      <c r="H86" s="287"/>
      <c r="I86" s="299"/>
      <c r="J86" s="372">
        <f>MAX(J82,J85)</f>
        <v>2015297</v>
      </c>
      <c r="K86" s="372"/>
      <c r="L86" s="372">
        <f>MAX(L82,L85)</f>
        <v>1748026</v>
      </c>
      <c r="M86" s="378"/>
      <c r="N86" s="275" t="s">
        <v>102</v>
      </c>
    </row>
    <row r="87" spans="2:14" x14ac:dyDescent="0.2">
      <c r="B87" s="300" t="s">
        <v>303</v>
      </c>
      <c r="J87" s="372">
        <f>J82</f>
        <v>173805</v>
      </c>
      <c r="K87" s="372"/>
      <c r="L87" s="372">
        <f>L82</f>
        <v>119413</v>
      </c>
      <c r="M87" s="378"/>
      <c r="N87" s="275" t="s">
        <v>102</v>
      </c>
    </row>
    <row r="88" spans="2:14" ht="15" customHeight="1" x14ac:dyDescent="0.2">
      <c r="B88" s="288" t="s">
        <v>305</v>
      </c>
      <c r="C88" s="287"/>
      <c r="D88" s="287"/>
      <c r="E88" s="287"/>
      <c r="F88" s="287"/>
      <c r="G88" s="287"/>
      <c r="H88" s="287"/>
      <c r="I88" s="299"/>
      <c r="J88" s="360">
        <f>J58/100</f>
        <v>0.84</v>
      </c>
      <c r="K88" s="361"/>
      <c r="L88" s="360">
        <f>L58/100</f>
        <v>0.8</v>
      </c>
      <c r="M88" s="367"/>
      <c r="N88" s="275" t="s">
        <v>102</v>
      </c>
    </row>
    <row r="89" spans="2:14" ht="15" customHeight="1" x14ac:dyDescent="0.2">
      <c r="B89" s="288" t="s">
        <v>334</v>
      </c>
      <c r="C89" s="287"/>
      <c r="D89" s="287"/>
      <c r="E89" s="287"/>
      <c r="F89" s="287"/>
      <c r="G89" s="287"/>
      <c r="H89" s="287"/>
      <c r="I89" s="299"/>
      <c r="J89" s="360">
        <f>IF(J60=1,0.3,IF(J60=2,0.2,IF(J60=3,0.1,IF(J60=4,0,"ошибка"))))</f>
        <v>0.3</v>
      </c>
      <c r="K89" s="361"/>
      <c r="L89" s="360">
        <f>IF(L60=1,0.3,IF(L60=2,0.2,IF(L60=3,0.1,IF(L60=4,0,"ошибка"))))</f>
        <v>0.3</v>
      </c>
      <c r="M89" s="361"/>
      <c r="N89" s="275"/>
    </row>
    <row r="90" spans="2:14" ht="15" customHeight="1" x14ac:dyDescent="0.2">
      <c r="B90" s="288" t="s">
        <v>332</v>
      </c>
      <c r="C90" s="287"/>
      <c r="D90" s="287"/>
      <c r="E90" s="287"/>
      <c r="F90" s="287"/>
      <c r="G90" s="287"/>
      <c r="H90" s="287"/>
      <c r="I90" s="299"/>
      <c r="J90" s="360">
        <f>1+K69/100</f>
        <v>1.1299999999999999</v>
      </c>
      <c r="K90" s="361"/>
      <c r="L90" s="400">
        <f>1+K69/100</f>
        <v>1.1299999999999999</v>
      </c>
      <c r="M90" s="401"/>
      <c r="N90" s="275" t="s">
        <v>102</v>
      </c>
    </row>
    <row r="91" spans="2:14" ht="15" customHeight="1" x14ac:dyDescent="0.2">
      <c r="B91" s="288" t="s">
        <v>333</v>
      </c>
      <c r="J91" s="396">
        <f>L76/100</f>
        <v>0</v>
      </c>
      <c r="K91" s="397"/>
      <c r="L91" s="398">
        <f>L76/100</f>
        <v>0</v>
      </c>
      <c r="M91" s="399"/>
      <c r="N91" s="275" t="s">
        <v>102</v>
      </c>
    </row>
    <row r="92" spans="2:14" s="51" customFormat="1" ht="19.5" customHeight="1" x14ac:dyDescent="0.25">
      <c r="B92" s="306" t="str">
        <f>"Кредитный лимит контрагента, "&amp;'РСБУ отчетность'!C2&amp;'РСБУ отчетность'!C3</f>
        <v>Кредитный лимит контрагента, тыс. руб.</v>
      </c>
      <c r="C92" s="303"/>
      <c r="D92" s="303"/>
      <c r="E92" s="303"/>
      <c r="F92" s="303"/>
      <c r="G92" s="303"/>
      <c r="H92" s="304"/>
      <c r="I92" s="305"/>
      <c r="J92" s="395">
        <f>IF(IF(J86&gt;0,J86*J88*J90*(1-J91),0)&lt;0,0,IF(J86&gt;0,J86*J88*J90*(1-J91),0))</f>
        <v>1912919.9123999998</v>
      </c>
      <c r="K92" s="395"/>
      <c r="L92" s="395">
        <f>IF(IF(L86&gt;0,L86*L88*L90*(1-L91),0)&lt;0,0,IF(L86&gt;0,L86*L88*L90*(1-L91),0))</f>
        <v>1580215.504</v>
      </c>
      <c r="M92" s="395"/>
      <c r="N92" s="275" t="s">
        <v>102</v>
      </c>
    </row>
    <row r="93" spans="2:14" s="51" customFormat="1" ht="19.5" customHeight="1" x14ac:dyDescent="0.25">
      <c r="B93" s="307" t="str">
        <f>"Лимит авансового платежа, "&amp;'РСБУ отчетность'!C2&amp;'РСБУ отчетность'!C3</f>
        <v>Лимит авансового платежа, тыс. руб.</v>
      </c>
      <c r="C93" s="303"/>
      <c r="D93" s="303"/>
      <c r="E93" s="303"/>
      <c r="F93" s="303"/>
      <c r="G93" s="303"/>
      <c r="H93" s="304"/>
      <c r="I93" s="305"/>
      <c r="J93" s="395">
        <f>IF(J87*J89*J90*(1-J91)&lt;0,0,IF(J87&gt;0,J87*J89*J90*(1-J91),0))</f>
        <v>58919.894999999997</v>
      </c>
      <c r="K93" s="395"/>
      <c r="L93" s="395">
        <f>IF(L87*L89*L90*(1-L91)&lt;0,0,IF(L87&gt;0,L87*L89*L90*(1-L91),0))</f>
        <v>40481.006999999998</v>
      </c>
      <c r="M93" s="395"/>
      <c r="N93" s="275" t="s">
        <v>102</v>
      </c>
    </row>
    <row r="94" spans="2:14" ht="9.75" customHeight="1" x14ac:dyDescent="0.2">
      <c r="N94" s="275"/>
    </row>
    <row r="95" spans="2:14" ht="15.75" x14ac:dyDescent="0.25">
      <c r="B95" s="114" t="s">
        <v>107</v>
      </c>
      <c r="C95" s="115"/>
      <c r="D95" s="115"/>
      <c r="E95" s="290" t="s">
        <v>341</v>
      </c>
      <c r="F95" s="290"/>
      <c r="G95" s="290"/>
      <c r="H95" s="290"/>
      <c r="I95" s="290"/>
      <c r="J95" s="116"/>
      <c r="K95" s="116"/>
      <c r="L95" s="116"/>
      <c r="M95" s="116"/>
      <c r="N95" s="275" t="s">
        <v>125</v>
      </c>
    </row>
  </sheetData>
  <mergeCells count="61">
    <mergeCell ref="L68:M68"/>
    <mergeCell ref="J73:K73"/>
    <mergeCell ref="J74:K74"/>
    <mergeCell ref="J75:K75"/>
    <mergeCell ref="J81:K81"/>
    <mergeCell ref="L73:M73"/>
    <mergeCell ref="L74:M74"/>
    <mergeCell ref="L75:M75"/>
    <mergeCell ref="L76:M76"/>
    <mergeCell ref="L84:M84"/>
    <mergeCell ref="L87:M87"/>
    <mergeCell ref="L81:M81"/>
    <mergeCell ref="L82:M82"/>
    <mergeCell ref="L83:M83"/>
    <mergeCell ref="L85:M85"/>
    <mergeCell ref="J93:K93"/>
    <mergeCell ref="L93:M93"/>
    <mergeCell ref="J90:K90"/>
    <mergeCell ref="J91:K91"/>
    <mergeCell ref="J92:K92"/>
    <mergeCell ref="L91:M91"/>
    <mergeCell ref="L92:M92"/>
    <mergeCell ref="L90:M90"/>
    <mergeCell ref="H62:I62"/>
    <mergeCell ref="J62:K62"/>
    <mergeCell ref="L62:M62"/>
    <mergeCell ref="J60:K60"/>
    <mergeCell ref="L60:M60"/>
    <mergeCell ref="J61:K61"/>
    <mergeCell ref="L61:M61"/>
    <mergeCell ref="H7:M7"/>
    <mergeCell ref="H8:I8"/>
    <mergeCell ref="H9:M9"/>
    <mergeCell ref="H10:I10"/>
    <mergeCell ref="H11:M11"/>
    <mergeCell ref="H14:I14"/>
    <mergeCell ref="L14:M14"/>
    <mergeCell ref="J22:K22"/>
    <mergeCell ref="L22:M22"/>
    <mergeCell ref="H15:I15"/>
    <mergeCell ref="H16:I16"/>
    <mergeCell ref="H17:I17"/>
    <mergeCell ref="L17:M17"/>
    <mergeCell ref="H18:I18"/>
    <mergeCell ref="L18:M18"/>
    <mergeCell ref="J89:K89"/>
    <mergeCell ref="L89:M89"/>
    <mergeCell ref="L53:M53"/>
    <mergeCell ref="L50:M50"/>
    <mergeCell ref="L49:M49"/>
    <mergeCell ref="L88:M88"/>
    <mergeCell ref="J82:K82"/>
    <mergeCell ref="J80:K80"/>
    <mergeCell ref="J87:K87"/>
    <mergeCell ref="J88:K88"/>
    <mergeCell ref="J85:K85"/>
    <mergeCell ref="J86:K86"/>
    <mergeCell ref="J83:K83"/>
    <mergeCell ref="J84:K84"/>
    <mergeCell ref="L80:M80"/>
    <mergeCell ref="L86:M86"/>
  </mergeCells>
  <conditionalFormatting sqref="M24 K24 K27 M27 K29 M29">
    <cfRule type="colorScale" priority="40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M77 M54:M56">
    <cfRule type="containsText" dxfId="3" priority="38" operator="containsText" text="Выявлен риск вывода активов">
      <formula>NOT(ISERROR(SEARCH("Выявлен риск вывода активов",M54)))</formula>
    </cfRule>
    <cfRule type="containsText" dxfId="2" priority="39" operator="containsText" text="Не выявлены">
      <formula>NOT(ISERROR(SEARCH("Не выявлены",M54)))</formula>
    </cfRule>
  </conditionalFormatting>
  <conditionalFormatting sqref="K25:K26 K28 K30:K31 M25:M26 M28 M30:M31">
    <cfRule type="colorScale" priority="34">
      <colorScale>
        <cfvo type="num" val="0"/>
        <cfvo type="num" val="2.5"/>
        <cfvo type="num" val="5"/>
        <color rgb="FFFF9999"/>
        <color rgb="FFFFEB84"/>
        <color rgb="FF92D050"/>
      </colorScale>
    </cfRule>
  </conditionalFormatting>
  <conditionalFormatting sqref="M41 K41">
    <cfRule type="colorScale" priority="33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50:K51">
    <cfRule type="colorScale" priority="32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53">
    <cfRule type="colorScale" priority="31">
      <colorScale>
        <cfvo type="num" val="-5"/>
        <cfvo type="percentile" val="50"/>
        <cfvo type="num" val="0"/>
        <color rgb="FFFF9999"/>
        <color rgb="FFFFEB84"/>
        <color rgb="FF92D050"/>
      </colorScale>
    </cfRule>
  </conditionalFormatting>
  <conditionalFormatting sqref="M42 K42">
    <cfRule type="colorScale" priority="28">
      <colorScale>
        <cfvo type="num" val="0"/>
        <cfvo type="percentile" val="50"/>
        <cfvo type="num" val="20"/>
        <color rgb="FFFF9999"/>
        <color rgb="FFFFEB84"/>
        <color rgb="FF92D050"/>
      </colorScale>
    </cfRule>
  </conditionalFormatting>
  <conditionalFormatting sqref="J17">
    <cfRule type="iconSet" priority="27">
      <iconSet iconSet="3Arrows">
        <cfvo type="percent" val="0"/>
        <cfvo type="num" val="$K$17"/>
        <cfvo type="num" val="$K$17" gte="0"/>
      </iconSet>
    </cfRule>
  </conditionalFormatting>
  <conditionalFormatting sqref="K35 M35">
    <cfRule type="colorScale" priority="26">
      <colorScale>
        <cfvo type="num" val="0"/>
        <cfvo type="percentile" val="50"/>
        <cfvo type="num" val="50"/>
        <color rgb="FFFF9999"/>
        <color rgb="FFFFEB84"/>
        <color rgb="FF92D050"/>
      </colorScale>
    </cfRule>
  </conditionalFormatting>
  <conditionalFormatting sqref="K43 M43">
    <cfRule type="colorScale" priority="25">
      <colorScale>
        <cfvo type="num" val="0"/>
        <cfvo type="percentile" val="50"/>
        <cfvo type="num" val="30"/>
        <color rgb="FFFF9999"/>
        <color rgb="FFFFEB84"/>
        <color rgb="FF92D050"/>
      </colorScale>
    </cfRule>
  </conditionalFormatting>
  <conditionalFormatting sqref="K54">
    <cfRule type="colorScale" priority="24">
      <colorScale>
        <cfvo type="num" val="0"/>
        <cfvo type="percentile" val="50"/>
        <cfvo type="num" val="20"/>
        <color rgb="FFFF9999"/>
        <color rgb="FFFFEB84"/>
        <color rgb="FF92D050"/>
      </colorScale>
    </cfRule>
  </conditionalFormatting>
  <conditionalFormatting sqref="K26">
    <cfRule type="colorScale" priority="23">
      <colorScale>
        <cfvo type="num" val="0"/>
        <cfvo type="percentile" val="50"/>
        <cfvo type="num" val="5"/>
        <color rgb="FFFF9999"/>
        <color rgb="FFFFEB84"/>
        <color rgb="FF92D050"/>
      </colorScale>
    </cfRule>
  </conditionalFormatting>
  <conditionalFormatting sqref="K27">
    <cfRule type="colorScale" priority="22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28">
    <cfRule type="colorScale" priority="21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33:K34 M33:M34">
    <cfRule type="colorScale" priority="19">
      <colorScale>
        <cfvo type="num" val="-3"/>
        <cfvo type="num" val="0"/>
        <cfvo type="num" val="3"/>
        <color rgb="FFFF9999"/>
        <color rgb="FFFFEB84"/>
        <color rgb="FF92D050"/>
      </colorScale>
    </cfRule>
  </conditionalFormatting>
  <conditionalFormatting sqref="K67">
    <cfRule type="colorScale" priority="18">
      <colorScale>
        <cfvo type="num" val="-10"/>
        <cfvo type="num" val="0"/>
        <cfvo type="num" val="10"/>
        <color rgb="FFFF9999"/>
        <color rgb="FFFFEB84"/>
        <color rgb="FF92D050"/>
      </colorScale>
    </cfRule>
  </conditionalFormatting>
  <conditionalFormatting sqref="K69">
    <cfRule type="colorScale" priority="16">
      <colorScale>
        <cfvo type="num" val="-34"/>
        <cfvo type="num" val="0"/>
        <cfvo type="num" val="10"/>
        <color rgb="FFFF9999"/>
        <color rgb="FFFFEB84"/>
        <color rgb="FF92D050"/>
      </colorScale>
    </cfRule>
  </conditionalFormatting>
  <conditionalFormatting sqref="K32">
    <cfRule type="colorScale" priority="15">
      <colorScale>
        <cfvo type="num" val="0"/>
        <cfvo type="num" val="2"/>
        <cfvo type="num" val="4"/>
        <color rgb="FFFF9999"/>
        <color rgb="FFFFEB84"/>
        <color rgb="FF63BE7B"/>
      </colorScale>
    </cfRule>
  </conditionalFormatting>
  <conditionalFormatting sqref="J18">
    <cfRule type="iconSet" priority="14">
      <iconSet iconSet="3Arrows">
        <cfvo type="percent" val="0"/>
        <cfvo type="num" val="$L$18"/>
        <cfvo type="num" val="$L$18" gte="0"/>
      </iconSet>
    </cfRule>
  </conditionalFormatting>
  <conditionalFormatting sqref="K76">
    <cfRule type="colorScale" priority="13">
      <colorScale>
        <cfvo type="num" val="0"/>
        <cfvo type="percentile" val="50"/>
        <cfvo type="num" val="0.7"/>
        <color rgb="FF92D050"/>
        <color rgb="FFFFEB84"/>
        <color rgb="FFFFCCCC"/>
      </colorScale>
    </cfRule>
  </conditionalFormatting>
  <conditionalFormatting sqref="M32">
    <cfRule type="colorScale" priority="12">
      <colorScale>
        <cfvo type="num" val="0"/>
        <cfvo type="num" val="2"/>
        <cfvo type="num" val="4"/>
        <color rgb="FFFF9999"/>
        <color rgb="FFFFEB84"/>
        <color rgb="FF92D050"/>
      </colorScale>
    </cfRule>
  </conditionalFormatting>
  <conditionalFormatting sqref="L76">
    <cfRule type="colorScale" priority="11">
      <colorScale>
        <cfvo type="num" val="0"/>
        <cfvo type="num" val="0.3"/>
        <cfvo type="num" val="0.7"/>
        <color rgb="FF92D050"/>
        <color rgb="FFFFEB84"/>
        <color rgb="FFFFCCCC"/>
      </colorScale>
    </cfRule>
  </conditionalFormatting>
  <conditionalFormatting sqref="K68">
    <cfRule type="colorScale" priority="9">
      <colorScale>
        <cfvo type="num" val="-10"/>
        <cfvo type="num" val="0"/>
        <cfvo type="num" val="10"/>
        <color rgb="FFFF9999"/>
        <color rgb="FFFFEB84"/>
        <color rgb="FF92D050"/>
      </colorScale>
    </cfRule>
  </conditionalFormatting>
  <conditionalFormatting sqref="J16">
    <cfRule type="iconSet" priority="161">
      <iconSet iconSet="3Arrows">
        <cfvo type="percent" val="0"/>
        <cfvo type="num" val="$L$58"/>
        <cfvo type="num" val="$L$58" gte="0"/>
      </iconSet>
    </cfRule>
  </conditionalFormatting>
  <dataValidations count="1">
    <dataValidation allowBlank="1" showErrorMessage="1" sqref="J50 L54:M56 I59:M59 J55:K56 J77:M77"/>
  </dataValidations>
  <printOptions horizontalCentered="1"/>
  <pageMargins left="0" right="0" top="0.59055118110236227" bottom="0.39370078740157483" header="0.31496062992125984" footer="0.31496062992125984"/>
  <pageSetup paperSize="9" scale="58" orientation="portrait" r:id="rId1"/>
  <headerFooter>
    <oddHeader>&amp;CШ-13.08.01-01 Оценка кредитоспособности контрагента</oddHeader>
    <oddFooter>&amp;CШ-13.08.01-01 версия 1.0 Оценка кредитоспособности контрагента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2" id="{04BB3D88-EABD-4E1F-AE67-E3EDA80E9FFF}">
            <x14:iconSet iconSet="3Arrows" custom="1">
              <x14:cfvo type="percent">
                <xm:f>0</xm:f>
              </x14:cfvo>
              <x14:cfvo type="num">
                <xm:f>$L$60</xm:f>
              </x14:cfvo>
              <x14:cfvo type="num" gte="0">
                <xm:f>$L$60</xm:f>
              </x14:cfvo>
              <x14:cfIcon iconSet="3Arrows" iconId="2"/>
              <x14:cfIcon iconSet="3Arrows" iconId="1"/>
              <x14:cfIcon iconSet="3Arrows" iconId="0"/>
            </x14:iconSet>
          </x14:cfRule>
          <xm:sqref>J15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Подложка!$X$3:$X$28</xm:f>
          </x14:formula1>
          <xm:sqref>J67:J68</xm:sqref>
        </x14:dataValidation>
        <x14:dataValidation type="list" allowBlank="1" showInputMessage="1" showErrorMessage="1">
          <x14:formula1>
            <xm:f>Подложка!$S$3:$S$5</xm:f>
          </x14:formula1>
          <xm:sqref>J75</xm:sqref>
        </x14:dataValidation>
        <x14:dataValidation type="list" allowBlank="1" showInputMessage="1" showErrorMessage="1">
          <x14:formula1>
            <xm:f>Подложка!$Q$3:$Q$7</xm:f>
          </x14:formula1>
          <xm:sqref>J74</xm:sqref>
        </x14:dataValidation>
        <x14:dataValidation type="list" allowBlank="1" showInputMessage="1" showErrorMessage="1">
          <x14:formula1>
            <xm:f>Подложка!$I$3:$I$6</xm:f>
          </x14:formula1>
          <xm:sqref>H11</xm:sqref>
        </x14:dataValidation>
        <x14:dataValidation type="list" allowBlank="1" showInputMessage="1" showErrorMessage="1">
          <x14:formula1>
            <xm:f>Подложка!$G$3:$G$5</xm:f>
          </x14:formula1>
          <xm:sqref>K71 H71:I71 L69:M72 J61:J63 H62:I65 K62:K65 L61:L65 M62:M65</xm:sqref>
        </x14:dataValidation>
        <x14:dataValidation type="list" allowBlank="1" showErrorMessage="1">
          <x14:formula1>
            <xm:f>Подложка!$E$3:$E$5</xm:f>
          </x14:formula1>
          <xm:sqref>J53</xm:sqref>
        </x14:dataValidation>
        <x14:dataValidation type="list" allowBlank="1" showErrorMessage="1">
          <x14:formula1>
            <xm:f>Подложка!$C$3:$C$6</xm:f>
          </x14:formula1>
          <xm:sqref>J51</xm:sqref>
        </x14:dataValidation>
        <x14:dataValidation type="list">
          <x14:formula1>
            <xm:f>Подложка!$M$3:$M$9</xm:f>
          </x14:formula1>
          <xm:sqref>L42 J42</xm:sqref>
        </x14:dataValidation>
        <x14:dataValidation type="list">
          <x14:formula1>
            <xm:f>Подложка!$K$3:$K$6</xm:f>
          </x14:formula1>
          <xm:sqref>L41 J41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N89"/>
  <sheetViews>
    <sheetView view="pageBreakPreview" topLeftCell="A34" zoomScale="55" zoomScaleNormal="90" zoomScaleSheetLayoutView="55" zoomScalePageLayoutView="40" workbookViewId="0">
      <selection activeCell="P64" sqref="P64"/>
    </sheetView>
  </sheetViews>
  <sheetFormatPr defaultRowHeight="14.25" x14ac:dyDescent="0.2"/>
  <cols>
    <col min="1" max="1" width="12.140625" style="8" customWidth="1"/>
    <col min="2" max="2" width="23.28515625" style="8" customWidth="1"/>
    <col min="3" max="3" width="18.28515625" style="8" customWidth="1"/>
    <col min="4" max="4" width="12" style="243" customWidth="1"/>
    <col min="5" max="5" width="24.85546875" style="8" customWidth="1"/>
    <col min="6" max="6" width="28.42578125" style="8" customWidth="1"/>
    <col min="7" max="7" width="28.7109375" style="8" customWidth="1"/>
    <col min="8" max="8" width="11.5703125" style="8" customWidth="1"/>
    <col min="9" max="9" width="12.5703125" style="8" customWidth="1"/>
    <col min="10" max="10" width="11.7109375" style="8" customWidth="1"/>
    <col min="11" max="11" width="10.28515625" style="8" customWidth="1"/>
    <col min="12" max="12" width="13.28515625" style="8" customWidth="1"/>
    <col min="13" max="13" width="12.5703125" style="8" customWidth="1"/>
    <col min="14" max="14" width="14.85546875" style="8" customWidth="1"/>
    <col min="15" max="253" width="9.140625" style="8"/>
    <col min="254" max="254" width="12.140625" style="8" customWidth="1"/>
    <col min="255" max="255" width="14.42578125" style="8" customWidth="1"/>
    <col min="256" max="256" width="16.7109375" style="8" customWidth="1"/>
    <col min="257" max="257" width="14.28515625" style="8" customWidth="1"/>
    <col min="258" max="258" width="16.140625" style="8" customWidth="1"/>
    <col min="259" max="259" width="11.7109375" style="8" customWidth="1"/>
    <col min="260" max="260" width="12.28515625" style="8" customWidth="1"/>
    <col min="261" max="261" width="13.28515625" style="8" customWidth="1"/>
    <col min="262" max="262" width="11.42578125" style="8" customWidth="1"/>
    <col min="263" max="263" width="76.85546875" style="8" customWidth="1"/>
    <col min="264" max="264" width="12.5703125" style="8" customWidth="1"/>
    <col min="265" max="265" width="11.7109375" style="8" customWidth="1"/>
    <col min="266" max="266" width="10.28515625" style="8" customWidth="1"/>
    <col min="267" max="267" width="14.85546875" style="8" customWidth="1"/>
    <col min="268" max="268" width="13.28515625" style="8" customWidth="1"/>
    <col min="269" max="269" width="12.5703125" style="8" customWidth="1"/>
    <col min="270" max="270" width="14.85546875" style="8" customWidth="1"/>
    <col min="271" max="509" width="9.140625" style="8"/>
    <col min="510" max="510" width="12.140625" style="8" customWidth="1"/>
    <col min="511" max="511" width="14.42578125" style="8" customWidth="1"/>
    <col min="512" max="512" width="16.7109375" style="8" customWidth="1"/>
    <col min="513" max="513" width="14.28515625" style="8" customWidth="1"/>
    <col min="514" max="514" width="16.140625" style="8" customWidth="1"/>
    <col min="515" max="515" width="11.7109375" style="8" customWidth="1"/>
    <col min="516" max="516" width="12.28515625" style="8" customWidth="1"/>
    <col min="517" max="517" width="13.28515625" style="8" customWidth="1"/>
    <col min="518" max="518" width="11.42578125" style="8" customWidth="1"/>
    <col min="519" max="519" width="76.85546875" style="8" customWidth="1"/>
    <col min="520" max="520" width="12.5703125" style="8" customWidth="1"/>
    <col min="521" max="521" width="11.7109375" style="8" customWidth="1"/>
    <col min="522" max="522" width="10.28515625" style="8" customWidth="1"/>
    <col min="523" max="523" width="14.85546875" style="8" customWidth="1"/>
    <col min="524" max="524" width="13.28515625" style="8" customWidth="1"/>
    <col min="525" max="525" width="12.5703125" style="8" customWidth="1"/>
    <col min="526" max="526" width="14.85546875" style="8" customWidth="1"/>
    <col min="527" max="765" width="9.140625" style="8"/>
    <col min="766" max="766" width="12.140625" style="8" customWidth="1"/>
    <col min="767" max="767" width="14.42578125" style="8" customWidth="1"/>
    <col min="768" max="768" width="16.7109375" style="8" customWidth="1"/>
    <col min="769" max="769" width="14.28515625" style="8" customWidth="1"/>
    <col min="770" max="770" width="16.140625" style="8" customWidth="1"/>
    <col min="771" max="771" width="11.7109375" style="8" customWidth="1"/>
    <col min="772" max="772" width="12.28515625" style="8" customWidth="1"/>
    <col min="773" max="773" width="13.28515625" style="8" customWidth="1"/>
    <col min="774" max="774" width="11.42578125" style="8" customWidth="1"/>
    <col min="775" max="775" width="76.85546875" style="8" customWidth="1"/>
    <col min="776" max="776" width="12.5703125" style="8" customWidth="1"/>
    <col min="777" max="777" width="11.7109375" style="8" customWidth="1"/>
    <col min="778" max="778" width="10.28515625" style="8" customWidth="1"/>
    <col min="779" max="779" width="14.85546875" style="8" customWidth="1"/>
    <col min="780" max="780" width="13.28515625" style="8" customWidth="1"/>
    <col min="781" max="781" width="12.5703125" style="8" customWidth="1"/>
    <col min="782" max="782" width="14.85546875" style="8" customWidth="1"/>
    <col min="783" max="1021" width="9.140625" style="8"/>
    <col min="1022" max="1022" width="12.140625" style="8" customWidth="1"/>
    <col min="1023" max="1023" width="14.42578125" style="8" customWidth="1"/>
    <col min="1024" max="1024" width="16.7109375" style="8" customWidth="1"/>
    <col min="1025" max="1025" width="14.28515625" style="8" customWidth="1"/>
    <col min="1026" max="1026" width="16.140625" style="8" customWidth="1"/>
    <col min="1027" max="1027" width="11.7109375" style="8" customWidth="1"/>
    <col min="1028" max="1028" width="12.28515625" style="8" customWidth="1"/>
    <col min="1029" max="1029" width="13.28515625" style="8" customWidth="1"/>
    <col min="1030" max="1030" width="11.42578125" style="8" customWidth="1"/>
    <col min="1031" max="1031" width="76.85546875" style="8" customWidth="1"/>
    <col min="1032" max="1032" width="12.5703125" style="8" customWidth="1"/>
    <col min="1033" max="1033" width="11.7109375" style="8" customWidth="1"/>
    <col min="1034" max="1034" width="10.28515625" style="8" customWidth="1"/>
    <col min="1035" max="1035" width="14.85546875" style="8" customWidth="1"/>
    <col min="1036" max="1036" width="13.28515625" style="8" customWidth="1"/>
    <col min="1037" max="1037" width="12.5703125" style="8" customWidth="1"/>
    <col min="1038" max="1038" width="14.85546875" style="8" customWidth="1"/>
    <col min="1039" max="1277" width="9.140625" style="8"/>
    <col min="1278" max="1278" width="12.140625" style="8" customWidth="1"/>
    <col min="1279" max="1279" width="14.42578125" style="8" customWidth="1"/>
    <col min="1280" max="1280" width="16.7109375" style="8" customWidth="1"/>
    <col min="1281" max="1281" width="14.28515625" style="8" customWidth="1"/>
    <col min="1282" max="1282" width="16.140625" style="8" customWidth="1"/>
    <col min="1283" max="1283" width="11.7109375" style="8" customWidth="1"/>
    <col min="1284" max="1284" width="12.28515625" style="8" customWidth="1"/>
    <col min="1285" max="1285" width="13.28515625" style="8" customWidth="1"/>
    <col min="1286" max="1286" width="11.42578125" style="8" customWidth="1"/>
    <col min="1287" max="1287" width="76.85546875" style="8" customWidth="1"/>
    <col min="1288" max="1288" width="12.5703125" style="8" customWidth="1"/>
    <col min="1289" max="1289" width="11.7109375" style="8" customWidth="1"/>
    <col min="1290" max="1290" width="10.28515625" style="8" customWidth="1"/>
    <col min="1291" max="1291" width="14.85546875" style="8" customWidth="1"/>
    <col min="1292" max="1292" width="13.28515625" style="8" customWidth="1"/>
    <col min="1293" max="1293" width="12.5703125" style="8" customWidth="1"/>
    <col min="1294" max="1294" width="14.85546875" style="8" customWidth="1"/>
    <col min="1295" max="1533" width="9.140625" style="8"/>
    <col min="1534" max="1534" width="12.140625" style="8" customWidth="1"/>
    <col min="1535" max="1535" width="14.42578125" style="8" customWidth="1"/>
    <col min="1536" max="1536" width="16.7109375" style="8" customWidth="1"/>
    <col min="1537" max="1537" width="14.28515625" style="8" customWidth="1"/>
    <col min="1538" max="1538" width="16.140625" style="8" customWidth="1"/>
    <col min="1539" max="1539" width="11.7109375" style="8" customWidth="1"/>
    <col min="1540" max="1540" width="12.28515625" style="8" customWidth="1"/>
    <col min="1541" max="1541" width="13.28515625" style="8" customWidth="1"/>
    <col min="1542" max="1542" width="11.42578125" style="8" customWidth="1"/>
    <col min="1543" max="1543" width="76.85546875" style="8" customWidth="1"/>
    <col min="1544" max="1544" width="12.5703125" style="8" customWidth="1"/>
    <col min="1545" max="1545" width="11.7109375" style="8" customWidth="1"/>
    <col min="1546" max="1546" width="10.28515625" style="8" customWidth="1"/>
    <col min="1547" max="1547" width="14.85546875" style="8" customWidth="1"/>
    <col min="1548" max="1548" width="13.28515625" style="8" customWidth="1"/>
    <col min="1549" max="1549" width="12.5703125" style="8" customWidth="1"/>
    <col min="1550" max="1550" width="14.85546875" style="8" customWidth="1"/>
    <col min="1551" max="1789" width="9.140625" style="8"/>
    <col min="1790" max="1790" width="12.140625" style="8" customWidth="1"/>
    <col min="1791" max="1791" width="14.42578125" style="8" customWidth="1"/>
    <col min="1792" max="1792" width="16.7109375" style="8" customWidth="1"/>
    <col min="1793" max="1793" width="14.28515625" style="8" customWidth="1"/>
    <col min="1794" max="1794" width="16.140625" style="8" customWidth="1"/>
    <col min="1795" max="1795" width="11.7109375" style="8" customWidth="1"/>
    <col min="1796" max="1796" width="12.28515625" style="8" customWidth="1"/>
    <col min="1797" max="1797" width="13.28515625" style="8" customWidth="1"/>
    <col min="1798" max="1798" width="11.42578125" style="8" customWidth="1"/>
    <col min="1799" max="1799" width="76.85546875" style="8" customWidth="1"/>
    <col min="1800" max="1800" width="12.5703125" style="8" customWidth="1"/>
    <col min="1801" max="1801" width="11.7109375" style="8" customWidth="1"/>
    <col min="1802" max="1802" width="10.28515625" style="8" customWidth="1"/>
    <col min="1803" max="1803" width="14.85546875" style="8" customWidth="1"/>
    <col min="1804" max="1804" width="13.28515625" style="8" customWidth="1"/>
    <col min="1805" max="1805" width="12.5703125" style="8" customWidth="1"/>
    <col min="1806" max="1806" width="14.85546875" style="8" customWidth="1"/>
    <col min="1807" max="2045" width="9.140625" style="8"/>
    <col min="2046" max="2046" width="12.140625" style="8" customWidth="1"/>
    <col min="2047" max="2047" width="14.42578125" style="8" customWidth="1"/>
    <col min="2048" max="2048" width="16.7109375" style="8" customWidth="1"/>
    <col min="2049" max="2049" width="14.28515625" style="8" customWidth="1"/>
    <col min="2050" max="2050" width="16.140625" style="8" customWidth="1"/>
    <col min="2051" max="2051" width="11.7109375" style="8" customWidth="1"/>
    <col min="2052" max="2052" width="12.28515625" style="8" customWidth="1"/>
    <col min="2053" max="2053" width="13.28515625" style="8" customWidth="1"/>
    <col min="2054" max="2054" width="11.42578125" style="8" customWidth="1"/>
    <col min="2055" max="2055" width="76.85546875" style="8" customWidth="1"/>
    <col min="2056" max="2056" width="12.5703125" style="8" customWidth="1"/>
    <col min="2057" max="2057" width="11.7109375" style="8" customWidth="1"/>
    <col min="2058" max="2058" width="10.28515625" style="8" customWidth="1"/>
    <col min="2059" max="2059" width="14.85546875" style="8" customWidth="1"/>
    <col min="2060" max="2060" width="13.28515625" style="8" customWidth="1"/>
    <col min="2061" max="2061" width="12.5703125" style="8" customWidth="1"/>
    <col min="2062" max="2062" width="14.85546875" style="8" customWidth="1"/>
    <col min="2063" max="2301" width="9.140625" style="8"/>
    <col min="2302" max="2302" width="12.140625" style="8" customWidth="1"/>
    <col min="2303" max="2303" width="14.42578125" style="8" customWidth="1"/>
    <col min="2304" max="2304" width="16.7109375" style="8" customWidth="1"/>
    <col min="2305" max="2305" width="14.28515625" style="8" customWidth="1"/>
    <col min="2306" max="2306" width="16.140625" style="8" customWidth="1"/>
    <col min="2307" max="2307" width="11.7109375" style="8" customWidth="1"/>
    <col min="2308" max="2308" width="12.28515625" style="8" customWidth="1"/>
    <col min="2309" max="2309" width="13.28515625" style="8" customWidth="1"/>
    <col min="2310" max="2310" width="11.42578125" style="8" customWidth="1"/>
    <col min="2311" max="2311" width="76.85546875" style="8" customWidth="1"/>
    <col min="2312" max="2312" width="12.5703125" style="8" customWidth="1"/>
    <col min="2313" max="2313" width="11.7109375" style="8" customWidth="1"/>
    <col min="2314" max="2314" width="10.28515625" style="8" customWidth="1"/>
    <col min="2315" max="2315" width="14.85546875" style="8" customWidth="1"/>
    <col min="2316" max="2316" width="13.28515625" style="8" customWidth="1"/>
    <col min="2317" max="2317" width="12.5703125" style="8" customWidth="1"/>
    <col min="2318" max="2318" width="14.85546875" style="8" customWidth="1"/>
    <col min="2319" max="2557" width="9.140625" style="8"/>
    <col min="2558" max="2558" width="12.140625" style="8" customWidth="1"/>
    <col min="2559" max="2559" width="14.42578125" style="8" customWidth="1"/>
    <col min="2560" max="2560" width="16.7109375" style="8" customWidth="1"/>
    <col min="2561" max="2561" width="14.28515625" style="8" customWidth="1"/>
    <col min="2562" max="2562" width="16.140625" style="8" customWidth="1"/>
    <col min="2563" max="2563" width="11.7109375" style="8" customWidth="1"/>
    <col min="2564" max="2564" width="12.28515625" style="8" customWidth="1"/>
    <col min="2565" max="2565" width="13.28515625" style="8" customWidth="1"/>
    <col min="2566" max="2566" width="11.42578125" style="8" customWidth="1"/>
    <col min="2567" max="2567" width="76.85546875" style="8" customWidth="1"/>
    <col min="2568" max="2568" width="12.5703125" style="8" customWidth="1"/>
    <col min="2569" max="2569" width="11.7109375" style="8" customWidth="1"/>
    <col min="2570" max="2570" width="10.28515625" style="8" customWidth="1"/>
    <col min="2571" max="2571" width="14.85546875" style="8" customWidth="1"/>
    <col min="2572" max="2572" width="13.28515625" style="8" customWidth="1"/>
    <col min="2573" max="2573" width="12.5703125" style="8" customWidth="1"/>
    <col min="2574" max="2574" width="14.85546875" style="8" customWidth="1"/>
    <col min="2575" max="2813" width="9.140625" style="8"/>
    <col min="2814" max="2814" width="12.140625" style="8" customWidth="1"/>
    <col min="2815" max="2815" width="14.42578125" style="8" customWidth="1"/>
    <col min="2816" max="2816" width="16.7109375" style="8" customWidth="1"/>
    <col min="2817" max="2817" width="14.28515625" style="8" customWidth="1"/>
    <col min="2818" max="2818" width="16.140625" style="8" customWidth="1"/>
    <col min="2819" max="2819" width="11.7109375" style="8" customWidth="1"/>
    <col min="2820" max="2820" width="12.28515625" style="8" customWidth="1"/>
    <col min="2821" max="2821" width="13.28515625" style="8" customWidth="1"/>
    <col min="2822" max="2822" width="11.42578125" style="8" customWidth="1"/>
    <col min="2823" max="2823" width="76.85546875" style="8" customWidth="1"/>
    <col min="2824" max="2824" width="12.5703125" style="8" customWidth="1"/>
    <col min="2825" max="2825" width="11.7109375" style="8" customWidth="1"/>
    <col min="2826" max="2826" width="10.28515625" style="8" customWidth="1"/>
    <col min="2827" max="2827" width="14.85546875" style="8" customWidth="1"/>
    <col min="2828" max="2828" width="13.28515625" style="8" customWidth="1"/>
    <col min="2829" max="2829" width="12.5703125" style="8" customWidth="1"/>
    <col min="2830" max="2830" width="14.85546875" style="8" customWidth="1"/>
    <col min="2831" max="3069" width="9.140625" style="8"/>
    <col min="3070" max="3070" width="12.140625" style="8" customWidth="1"/>
    <col min="3071" max="3071" width="14.42578125" style="8" customWidth="1"/>
    <col min="3072" max="3072" width="16.7109375" style="8" customWidth="1"/>
    <col min="3073" max="3073" width="14.28515625" style="8" customWidth="1"/>
    <col min="3074" max="3074" width="16.140625" style="8" customWidth="1"/>
    <col min="3075" max="3075" width="11.7109375" style="8" customWidth="1"/>
    <col min="3076" max="3076" width="12.28515625" style="8" customWidth="1"/>
    <col min="3077" max="3077" width="13.28515625" style="8" customWidth="1"/>
    <col min="3078" max="3078" width="11.42578125" style="8" customWidth="1"/>
    <col min="3079" max="3079" width="76.85546875" style="8" customWidth="1"/>
    <col min="3080" max="3080" width="12.5703125" style="8" customWidth="1"/>
    <col min="3081" max="3081" width="11.7109375" style="8" customWidth="1"/>
    <col min="3082" max="3082" width="10.28515625" style="8" customWidth="1"/>
    <col min="3083" max="3083" width="14.85546875" style="8" customWidth="1"/>
    <col min="3084" max="3084" width="13.28515625" style="8" customWidth="1"/>
    <col min="3085" max="3085" width="12.5703125" style="8" customWidth="1"/>
    <col min="3086" max="3086" width="14.85546875" style="8" customWidth="1"/>
    <col min="3087" max="3325" width="9.140625" style="8"/>
    <col min="3326" max="3326" width="12.140625" style="8" customWidth="1"/>
    <col min="3327" max="3327" width="14.42578125" style="8" customWidth="1"/>
    <col min="3328" max="3328" width="16.7109375" style="8" customWidth="1"/>
    <col min="3329" max="3329" width="14.28515625" style="8" customWidth="1"/>
    <col min="3330" max="3330" width="16.140625" style="8" customWidth="1"/>
    <col min="3331" max="3331" width="11.7109375" style="8" customWidth="1"/>
    <col min="3332" max="3332" width="12.28515625" style="8" customWidth="1"/>
    <col min="3333" max="3333" width="13.28515625" style="8" customWidth="1"/>
    <col min="3334" max="3334" width="11.42578125" style="8" customWidth="1"/>
    <col min="3335" max="3335" width="76.85546875" style="8" customWidth="1"/>
    <col min="3336" max="3336" width="12.5703125" style="8" customWidth="1"/>
    <col min="3337" max="3337" width="11.7109375" style="8" customWidth="1"/>
    <col min="3338" max="3338" width="10.28515625" style="8" customWidth="1"/>
    <col min="3339" max="3339" width="14.85546875" style="8" customWidth="1"/>
    <col min="3340" max="3340" width="13.28515625" style="8" customWidth="1"/>
    <col min="3341" max="3341" width="12.5703125" style="8" customWidth="1"/>
    <col min="3342" max="3342" width="14.85546875" style="8" customWidth="1"/>
    <col min="3343" max="3581" width="9.140625" style="8"/>
    <col min="3582" max="3582" width="12.140625" style="8" customWidth="1"/>
    <col min="3583" max="3583" width="14.42578125" style="8" customWidth="1"/>
    <col min="3584" max="3584" width="16.7109375" style="8" customWidth="1"/>
    <col min="3585" max="3585" width="14.28515625" style="8" customWidth="1"/>
    <col min="3586" max="3586" width="16.140625" style="8" customWidth="1"/>
    <col min="3587" max="3587" width="11.7109375" style="8" customWidth="1"/>
    <col min="3588" max="3588" width="12.28515625" style="8" customWidth="1"/>
    <col min="3589" max="3589" width="13.28515625" style="8" customWidth="1"/>
    <col min="3590" max="3590" width="11.42578125" style="8" customWidth="1"/>
    <col min="3591" max="3591" width="76.85546875" style="8" customWidth="1"/>
    <col min="3592" max="3592" width="12.5703125" style="8" customWidth="1"/>
    <col min="3593" max="3593" width="11.7109375" style="8" customWidth="1"/>
    <col min="3594" max="3594" width="10.28515625" style="8" customWidth="1"/>
    <col min="3595" max="3595" width="14.85546875" style="8" customWidth="1"/>
    <col min="3596" max="3596" width="13.28515625" style="8" customWidth="1"/>
    <col min="3597" max="3597" width="12.5703125" style="8" customWidth="1"/>
    <col min="3598" max="3598" width="14.85546875" style="8" customWidth="1"/>
    <col min="3599" max="3837" width="9.140625" style="8"/>
    <col min="3838" max="3838" width="12.140625" style="8" customWidth="1"/>
    <col min="3839" max="3839" width="14.42578125" style="8" customWidth="1"/>
    <col min="3840" max="3840" width="16.7109375" style="8" customWidth="1"/>
    <col min="3841" max="3841" width="14.28515625" style="8" customWidth="1"/>
    <col min="3842" max="3842" width="16.140625" style="8" customWidth="1"/>
    <col min="3843" max="3843" width="11.7109375" style="8" customWidth="1"/>
    <col min="3844" max="3844" width="12.28515625" style="8" customWidth="1"/>
    <col min="3845" max="3845" width="13.28515625" style="8" customWidth="1"/>
    <col min="3846" max="3846" width="11.42578125" style="8" customWidth="1"/>
    <col min="3847" max="3847" width="76.85546875" style="8" customWidth="1"/>
    <col min="3848" max="3848" width="12.5703125" style="8" customWidth="1"/>
    <col min="3849" max="3849" width="11.7109375" style="8" customWidth="1"/>
    <col min="3850" max="3850" width="10.28515625" style="8" customWidth="1"/>
    <col min="3851" max="3851" width="14.85546875" style="8" customWidth="1"/>
    <col min="3852" max="3852" width="13.28515625" style="8" customWidth="1"/>
    <col min="3853" max="3853" width="12.5703125" style="8" customWidth="1"/>
    <col min="3854" max="3854" width="14.85546875" style="8" customWidth="1"/>
    <col min="3855" max="4093" width="9.140625" style="8"/>
    <col min="4094" max="4094" width="12.140625" style="8" customWidth="1"/>
    <col min="4095" max="4095" width="14.42578125" style="8" customWidth="1"/>
    <col min="4096" max="4096" width="16.7109375" style="8" customWidth="1"/>
    <col min="4097" max="4097" width="14.28515625" style="8" customWidth="1"/>
    <col min="4098" max="4098" width="16.140625" style="8" customWidth="1"/>
    <col min="4099" max="4099" width="11.7109375" style="8" customWidth="1"/>
    <col min="4100" max="4100" width="12.28515625" style="8" customWidth="1"/>
    <col min="4101" max="4101" width="13.28515625" style="8" customWidth="1"/>
    <col min="4102" max="4102" width="11.42578125" style="8" customWidth="1"/>
    <col min="4103" max="4103" width="76.85546875" style="8" customWidth="1"/>
    <col min="4104" max="4104" width="12.5703125" style="8" customWidth="1"/>
    <col min="4105" max="4105" width="11.7109375" style="8" customWidth="1"/>
    <col min="4106" max="4106" width="10.28515625" style="8" customWidth="1"/>
    <col min="4107" max="4107" width="14.85546875" style="8" customWidth="1"/>
    <col min="4108" max="4108" width="13.28515625" style="8" customWidth="1"/>
    <col min="4109" max="4109" width="12.5703125" style="8" customWidth="1"/>
    <col min="4110" max="4110" width="14.85546875" style="8" customWidth="1"/>
    <col min="4111" max="4349" width="9.140625" style="8"/>
    <col min="4350" max="4350" width="12.140625" style="8" customWidth="1"/>
    <col min="4351" max="4351" width="14.42578125" style="8" customWidth="1"/>
    <col min="4352" max="4352" width="16.7109375" style="8" customWidth="1"/>
    <col min="4353" max="4353" width="14.28515625" style="8" customWidth="1"/>
    <col min="4354" max="4354" width="16.140625" style="8" customWidth="1"/>
    <col min="4355" max="4355" width="11.7109375" style="8" customWidth="1"/>
    <col min="4356" max="4356" width="12.28515625" style="8" customWidth="1"/>
    <col min="4357" max="4357" width="13.28515625" style="8" customWidth="1"/>
    <col min="4358" max="4358" width="11.42578125" style="8" customWidth="1"/>
    <col min="4359" max="4359" width="76.85546875" style="8" customWidth="1"/>
    <col min="4360" max="4360" width="12.5703125" style="8" customWidth="1"/>
    <col min="4361" max="4361" width="11.7109375" style="8" customWidth="1"/>
    <col min="4362" max="4362" width="10.28515625" style="8" customWidth="1"/>
    <col min="4363" max="4363" width="14.85546875" style="8" customWidth="1"/>
    <col min="4364" max="4364" width="13.28515625" style="8" customWidth="1"/>
    <col min="4365" max="4365" width="12.5703125" style="8" customWidth="1"/>
    <col min="4366" max="4366" width="14.85546875" style="8" customWidth="1"/>
    <col min="4367" max="4605" width="9.140625" style="8"/>
    <col min="4606" max="4606" width="12.140625" style="8" customWidth="1"/>
    <col min="4607" max="4607" width="14.42578125" style="8" customWidth="1"/>
    <col min="4608" max="4608" width="16.7109375" style="8" customWidth="1"/>
    <col min="4609" max="4609" width="14.28515625" style="8" customWidth="1"/>
    <col min="4610" max="4610" width="16.140625" style="8" customWidth="1"/>
    <col min="4611" max="4611" width="11.7109375" style="8" customWidth="1"/>
    <col min="4612" max="4612" width="12.28515625" style="8" customWidth="1"/>
    <col min="4613" max="4613" width="13.28515625" style="8" customWidth="1"/>
    <col min="4614" max="4614" width="11.42578125" style="8" customWidth="1"/>
    <col min="4615" max="4615" width="76.85546875" style="8" customWidth="1"/>
    <col min="4616" max="4616" width="12.5703125" style="8" customWidth="1"/>
    <col min="4617" max="4617" width="11.7109375" style="8" customWidth="1"/>
    <col min="4618" max="4618" width="10.28515625" style="8" customWidth="1"/>
    <col min="4619" max="4619" width="14.85546875" style="8" customWidth="1"/>
    <col min="4620" max="4620" width="13.28515625" style="8" customWidth="1"/>
    <col min="4621" max="4621" width="12.5703125" style="8" customWidth="1"/>
    <col min="4622" max="4622" width="14.85546875" style="8" customWidth="1"/>
    <col min="4623" max="4861" width="9.140625" style="8"/>
    <col min="4862" max="4862" width="12.140625" style="8" customWidth="1"/>
    <col min="4863" max="4863" width="14.42578125" style="8" customWidth="1"/>
    <col min="4864" max="4864" width="16.7109375" style="8" customWidth="1"/>
    <col min="4865" max="4865" width="14.28515625" style="8" customWidth="1"/>
    <col min="4866" max="4866" width="16.140625" style="8" customWidth="1"/>
    <col min="4867" max="4867" width="11.7109375" style="8" customWidth="1"/>
    <col min="4868" max="4868" width="12.28515625" style="8" customWidth="1"/>
    <col min="4869" max="4869" width="13.28515625" style="8" customWidth="1"/>
    <col min="4870" max="4870" width="11.42578125" style="8" customWidth="1"/>
    <col min="4871" max="4871" width="76.85546875" style="8" customWidth="1"/>
    <col min="4872" max="4872" width="12.5703125" style="8" customWidth="1"/>
    <col min="4873" max="4873" width="11.7109375" style="8" customWidth="1"/>
    <col min="4874" max="4874" width="10.28515625" style="8" customWidth="1"/>
    <col min="4875" max="4875" width="14.85546875" style="8" customWidth="1"/>
    <col min="4876" max="4876" width="13.28515625" style="8" customWidth="1"/>
    <col min="4877" max="4877" width="12.5703125" style="8" customWidth="1"/>
    <col min="4878" max="4878" width="14.85546875" style="8" customWidth="1"/>
    <col min="4879" max="5117" width="9.140625" style="8"/>
    <col min="5118" max="5118" width="12.140625" style="8" customWidth="1"/>
    <col min="5119" max="5119" width="14.42578125" style="8" customWidth="1"/>
    <col min="5120" max="5120" width="16.7109375" style="8" customWidth="1"/>
    <col min="5121" max="5121" width="14.28515625" style="8" customWidth="1"/>
    <col min="5122" max="5122" width="16.140625" style="8" customWidth="1"/>
    <col min="5123" max="5123" width="11.7109375" style="8" customWidth="1"/>
    <col min="5124" max="5124" width="12.28515625" style="8" customWidth="1"/>
    <col min="5125" max="5125" width="13.28515625" style="8" customWidth="1"/>
    <col min="5126" max="5126" width="11.42578125" style="8" customWidth="1"/>
    <col min="5127" max="5127" width="76.85546875" style="8" customWidth="1"/>
    <col min="5128" max="5128" width="12.5703125" style="8" customWidth="1"/>
    <col min="5129" max="5129" width="11.7109375" style="8" customWidth="1"/>
    <col min="5130" max="5130" width="10.28515625" style="8" customWidth="1"/>
    <col min="5131" max="5131" width="14.85546875" style="8" customWidth="1"/>
    <col min="5132" max="5132" width="13.28515625" style="8" customWidth="1"/>
    <col min="5133" max="5133" width="12.5703125" style="8" customWidth="1"/>
    <col min="5134" max="5134" width="14.85546875" style="8" customWidth="1"/>
    <col min="5135" max="5373" width="9.140625" style="8"/>
    <col min="5374" max="5374" width="12.140625" style="8" customWidth="1"/>
    <col min="5375" max="5375" width="14.42578125" style="8" customWidth="1"/>
    <col min="5376" max="5376" width="16.7109375" style="8" customWidth="1"/>
    <col min="5377" max="5377" width="14.28515625" style="8" customWidth="1"/>
    <col min="5378" max="5378" width="16.140625" style="8" customWidth="1"/>
    <col min="5379" max="5379" width="11.7109375" style="8" customWidth="1"/>
    <col min="5380" max="5380" width="12.28515625" style="8" customWidth="1"/>
    <col min="5381" max="5381" width="13.28515625" style="8" customWidth="1"/>
    <col min="5382" max="5382" width="11.42578125" style="8" customWidth="1"/>
    <col min="5383" max="5383" width="76.85546875" style="8" customWidth="1"/>
    <col min="5384" max="5384" width="12.5703125" style="8" customWidth="1"/>
    <col min="5385" max="5385" width="11.7109375" style="8" customWidth="1"/>
    <col min="5386" max="5386" width="10.28515625" style="8" customWidth="1"/>
    <col min="5387" max="5387" width="14.85546875" style="8" customWidth="1"/>
    <col min="5388" max="5388" width="13.28515625" style="8" customWidth="1"/>
    <col min="5389" max="5389" width="12.5703125" style="8" customWidth="1"/>
    <col min="5390" max="5390" width="14.85546875" style="8" customWidth="1"/>
    <col min="5391" max="5629" width="9.140625" style="8"/>
    <col min="5630" max="5630" width="12.140625" style="8" customWidth="1"/>
    <col min="5631" max="5631" width="14.42578125" style="8" customWidth="1"/>
    <col min="5632" max="5632" width="16.7109375" style="8" customWidth="1"/>
    <col min="5633" max="5633" width="14.28515625" style="8" customWidth="1"/>
    <col min="5634" max="5634" width="16.140625" style="8" customWidth="1"/>
    <col min="5635" max="5635" width="11.7109375" style="8" customWidth="1"/>
    <col min="5636" max="5636" width="12.28515625" style="8" customWidth="1"/>
    <col min="5637" max="5637" width="13.28515625" style="8" customWidth="1"/>
    <col min="5638" max="5638" width="11.42578125" style="8" customWidth="1"/>
    <col min="5639" max="5639" width="76.85546875" style="8" customWidth="1"/>
    <col min="5640" max="5640" width="12.5703125" style="8" customWidth="1"/>
    <col min="5641" max="5641" width="11.7109375" style="8" customWidth="1"/>
    <col min="5642" max="5642" width="10.28515625" style="8" customWidth="1"/>
    <col min="5643" max="5643" width="14.85546875" style="8" customWidth="1"/>
    <col min="5644" max="5644" width="13.28515625" style="8" customWidth="1"/>
    <col min="5645" max="5645" width="12.5703125" style="8" customWidth="1"/>
    <col min="5646" max="5646" width="14.85546875" style="8" customWidth="1"/>
    <col min="5647" max="5885" width="9.140625" style="8"/>
    <col min="5886" max="5886" width="12.140625" style="8" customWidth="1"/>
    <col min="5887" max="5887" width="14.42578125" style="8" customWidth="1"/>
    <col min="5888" max="5888" width="16.7109375" style="8" customWidth="1"/>
    <col min="5889" max="5889" width="14.28515625" style="8" customWidth="1"/>
    <col min="5890" max="5890" width="16.140625" style="8" customWidth="1"/>
    <col min="5891" max="5891" width="11.7109375" style="8" customWidth="1"/>
    <col min="5892" max="5892" width="12.28515625" style="8" customWidth="1"/>
    <col min="5893" max="5893" width="13.28515625" style="8" customWidth="1"/>
    <col min="5894" max="5894" width="11.42578125" style="8" customWidth="1"/>
    <col min="5895" max="5895" width="76.85546875" style="8" customWidth="1"/>
    <col min="5896" max="5896" width="12.5703125" style="8" customWidth="1"/>
    <col min="5897" max="5897" width="11.7109375" style="8" customWidth="1"/>
    <col min="5898" max="5898" width="10.28515625" style="8" customWidth="1"/>
    <col min="5899" max="5899" width="14.85546875" style="8" customWidth="1"/>
    <col min="5900" max="5900" width="13.28515625" style="8" customWidth="1"/>
    <col min="5901" max="5901" width="12.5703125" style="8" customWidth="1"/>
    <col min="5902" max="5902" width="14.85546875" style="8" customWidth="1"/>
    <col min="5903" max="6141" width="9.140625" style="8"/>
    <col min="6142" max="6142" width="12.140625" style="8" customWidth="1"/>
    <col min="6143" max="6143" width="14.42578125" style="8" customWidth="1"/>
    <col min="6144" max="6144" width="16.7109375" style="8" customWidth="1"/>
    <col min="6145" max="6145" width="14.28515625" style="8" customWidth="1"/>
    <col min="6146" max="6146" width="16.140625" style="8" customWidth="1"/>
    <col min="6147" max="6147" width="11.7109375" style="8" customWidth="1"/>
    <col min="6148" max="6148" width="12.28515625" style="8" customWidth="1"/>
    <col min="6149" max="6149" width="13.28515625" style="8" customWidth="1"/>
    <col min="6150" max="6150" width="11.42578125" style="8" customWidth="1"/>
    <col min="6151" max="6151" width="76.85546875" style="8" customWidth="1"/>
    <col min="6152" max="6152" width="12.5703125" style="8" customWidth="1"/>
    <col min="6153" max="6153" width="11.7109375" style="8" customWidth="1"/>
    <col min="6154" max="6154" width="10.28515625" style="8" customWidth="1"/>
    <col min="6155" max="6155" width="14.85546875" style="8" customWidth="1"/>
    <col min="6156" max="6156" width="13.28515625" style="8" customWidth="1"/>
    <col min="6157" max="6157" width="12.5703125" style="8" customWidth="1"/>
    <col min="6158" max="6158" width="14.85546875" style="8" customWidth="1"/>
    <col min="6159" max="6397" width="9.140625" style="8"/>
    <col min="6398" max="6398" width="12.140625" style="8" customWidth="1"/>
    <col min="6399" max="6399" width="14.42578125" style="8" customWidth="1"/>
    <col min="6400" max="6400" width="16.7109375" style="8" customWidth="1"/>
    <col min="6401" max="6401" width="14.28515625" style="8" customWidth="1"/>
    <col min="6402" max="6402" width="16.140625" style="8" customWidth="1"/>
    <col min="6403" max="6403" width="11.7109375" style="8" customWidth="1"/>
    <col min="6404" max="6404" width="12.28515625" style="8" customWidth="1"/>
    <col min="6405" max="6405" width="13.28515625" style="8" customWidth="1"/>
    <col min="6406" max="6406" width="11.42578125" style="8" customWidth="1"/>
    <col min="6407" max="6407" width="76.85546875" style="8" customWidth="1"/>
    <col min="6408" max="6408" width="12.5703125" style="8" customWidth="1"/>
    <col min="6409" max="6409" width="11.7109375" style="8" customWidth="1"/>
    <col min="6410" max="6410" width="10.28515625" style="8" customWidth="1"/>
    <col min="6411" max="6411" width="14.85546875" style="8" customWidth="1"/>
    <col min="6412" max="6412" width="13.28515625" style="8" customWidth="1"/>
    <col min="6413" max="6413" width="12.5703125" style="8" customWidth="1"/>
    <col min="6414" max="6414" width="14.85546875" style="8" customWidth="1"/>
    <col min="6415" max="6653" width="9.140625" style="8"/>
    <col min="6654" max="6654" width="12.140625" style="8" customWidth="1"/>
    <col min="6655" max="6655" width="14.42578125" style="8" customWidth="1"/>
    <col min="6656" max="6656" width="16.7109375" style="8" customWidth="1"/>
    <col min="6657" max="6657" width="14.28515625" style="8" customWidth="1"/>
    <col min="6658" max="6658" width="16.140625" style="8" customWidth="1"/>
    <col min="6659" max="6659" width="11.7109375" style="8" customWidth="1"/>
    <col min="6660" max="6660" width="12.28515625" style="8" customWidth="1"/>
    <col min="6661" max="6661" width="13.28515625" style="8" customWidth="1"/>
    <col min="6662" max="6662" width="11.42578125" style="8" customWidth="1"/>
    <col min="6663" max="6663" width="76.85546875" style="8" customWidth="1"/>
    <col min="6664" max="6664" width="12.5703125" style="8" customWidth="1"/>
    <col min="6665" max="6665" width="11.7109375" style="8" customWidth="1"/>
    <col min="6666" max="6666" width="10.28515625" style="8" customWidth="1"/>
    <col min="6667" max="6667" width="14.85546875" style="8" customWidth="1"/>
    <col min="6668" max="6668" width="13.28515625" style="8" customWidth="1"/>
    <col min="6669" max="6669" width="12.5703125" style="8" customWidth="1"/>
    <col min="6670" max="6670" width="14.85546875" style="8" customWidth="1"/>
    <col min="6671" max="6909" width="9.140625" style="8"/>
    <col min="6910" max="6910" width="12.140625" style="8" customWidth="1"/>
    <col min="6911" max="6911" width="14.42578125" style="8" customWidth="1"/>
    <col min="6912" max="6912" width="16.7109375" style="8" customWidth="1"/>
    <col min="6913" max="6913" width="14.28515625" style="8" customWidth="1"/>
    <col min="6914" max="6914" width="16.140625" style="8" customWidth="1"/>
    <col min="6915" max="6915" width="11.7109375" style="8" customWidth="1"/>
    <col min="6916" max="6916" width="12.28515625" style="8" customWidth="1"/>
    <col min="6917" max="6917" width="13.28515625" style="8" customWidth="1"/>
    <col min="6918" max="6918" width="11.42578125" style="8" customWidth="1"/>
    <col min="6919" max="6919" width="76.85546875" style="8" customWidth="1"/>
    <col min="6920" max="6920" width="12.5703125" style="8" customWidth="1"/>
    <col min="6921" max="6921" width="11.7109375" style="8" customWidth="1"/>
    <col min="6922" max="6922" width="10.28515625" style="8" customWidth="1"/>
    <col min="6923" max="6923" width="14.85546875" style="8" customWidth="1"/>
    <col min="6924" max="6924" width="13.28515625" style="8" customWidth="1"/>
    <col min="6925" max="6925" width="12.5703125" style="8" customWidth="1"/>
    <col min="6926" max="6926" width="14.85546875" style="8" customWidth="1"/>
    <col min="6927" max="7165" width="9.140625" style="8"/>
    <col min="7166" max="7166" width="12.140625" style="8" customWidth="1"/>
    <col min="7167" max="7167" width="14.42578125" style="8" customWidth="1"/>
    <col min="7168" max="7168" width="16.7109375" style="8" customWidth="1"/>
    <col min="7169" max="7169" width="14.28515625" style="8" customWidth="1"/>
    <col min="7170" max="7170" width="16.140625" style="8" customWidth="1"/>
    <col min="7171" max="7171" width="11.7109375" style="8" customWidth="1"/>
    <col min="7172" max="7172" width="12.28515625" style="8" customWidth="1"/>
    <col min="7173" max="7173" width="13.28515625" style="8" customWidth="1"/>
    <col min="7174" max="7174" width="11.42578125" style="8" customWidth="1"/>
    <col min="7175" max="7175" width="76.85546875" style="8" customWidth="1"/>
    <col min="7176" max="7176" width="12.5703125" style="8" customWidth="1"/>
    <col min="7177" max="7177" width="11.7109375" style="8" customWidth="1"/>
    <col min="7178" max="7178" width="10.28515625" style="8" customWidth="1"/>
    <col min="7179" max="7179" width="14.85546875" style="8" customWidth="1"/>
    <col min="7180" max="7180" width="13.28515625" style="8" customWidth="1"/>
    <col min="7181" max="7181" width="12.5703125" style="8" customWidth="1"/>
    <col min="7182" max="7182" width="14.85546875" style="8" customWidth="1"/>
    <col min="7183" max="7421" width="9.140625" style="8"/>
    <col min="7422" max="7422" width="12.140625" style="8" customWidth="1"/>
    <col min="7423" max="7423" width="14.42578125" style="8" customWidth="1"/>
    <col min="7424" max="7424" width="16.7109375" style="8" customWidth="1"/>
    <col min="7425" max="7425" width="14.28515625" style="8" customWidth="1"/>
    <col min="7426" max="7426" width="16.140625" style="8" customWidth="1"/>
    <col min="7427" max="7427" width="11.7109375" style="8" customWidth="1"/>
    <col min="7428" max="7428" width="12.28515625" style="8" customWidth="1"/>
    <col min="7429" max="7429" width="13.28515625" style="8" customWidth="1"/>
    <col min="7430" max="7430" width="11.42578125" style="8" customWidth="1"/>
    <col min="7431" max="7431" width="76.85546875" style="8" customWidth="1"/>
    <col min="7432" max="7432" width="12.5703125" style="8" customWidth="1"/>
    <col min="7433" max="7433" width="11.7109375" style="8" customWidth="1"/>
    <col min="7434" max="7434" width="10.28515625" style="8" customWidth="1"/>
    <col min="7435" max="7435" width="14.85546875" style="8" customWidth="1"/>
    <col min="7436" max="7436" width="13.28515625" style="8" customWidth="1"/>
    <col min="7437" max="7437" width="12.5703125" style="8" customWidth="1"/>
    <col min="7438" max="7438" width="14.85546875" style="8" customWidth="1"/>
    <col min="7439" max="7677" width="9.140625" style="8"/>
    <col min="7678" max="7678" width="12.140625" style="8" customWidth="1"/>
    <col min="7679" max="7679" width="14.42578125" style="8" customWidth="1"/>
    <col min="7680" max="7680" width="16.7109375" style="8" customWidth="1"/>
    <col min="7681" max="7681" width="14.28515625" style="8" customWidth="1"/>
    <col min="7682" max="7682" width="16.140625" style="8" customWidth="1"/>
    <col min="7683" max="7683" width="11.7109375" style="8" customWidth="1"/>
    <col min="7684" max="7684" width="12.28515625" style="8" customWidth="1"/>
    <col min="7685" max="7685" width="13.28515625" style="8" customWidth="1"/>
    <col min="7686" max="7686" width="11.42578125" style="8" customWidth="1"/>
    <col min="7687" max="7687" width="76.85546875" style="8" customWidth="1"/>
    <col min="7688" max="7688" width="12.5703125" style="8" customWidth="1"/>
    <col min="7689" max="7689" width="11.7109375" style="8" customWidth="1"/>
    <col min="7690" max="7690" width="10.28515625" style="8" customWidth="1"/>
    <col min="7691" max="7691" width="14.85546875" style="8" customWidth="1"/>
    <col min="7692" max="7692" width="13.28515625" style="8" customWidth="1"/>
    <col min="7693" max="7693" width="12.5703125" style="8" customWidth="1"/>
    <col min="7694" max="7694" width="14.85546875" style="8" customWidth="1"/>
    <col min="7695" max="7933" width="9.140625" style="8"/>
    <col min="7934" max="7934" width="12.140625" style="8" customWidth="1"/>
    <col min="7935" max="7935" width="14.42578125" style="8" customWidth="1"/>
    <col min="7936" max="7936" width="16.7109375" style="8" customWidth="1"/>
    <col min="7937" max="7937" width="14.28515625" style="8" customWidth="1"/>
    <col min="7938" max="7938" width="16.140625" style="8" customWidth="1"/>
    <col min="7939" max="7939" width="11.7109375" style="8" customWidth="1"/>
    <col min="7940" max="7940" width="12.28515625" style="8" customWidth="1"/>
    <col min="7941" max="7941" width="13.28515625" style="8" customWidth="1"/>
    <col min="7942" max="7942" width="11.42578125" style="8" customWidth="1"/>
    <col min="7943" max="7943" width="76.85546875" style="8" customWidth="1"/>
    <col min="7944" max="7944" width="12.5703125" style="8" customWidth="1"/>
    <col min="7945" max="7945" width="11.7109375" style="8" customWidth="1"/>
    <col min="7946" max="7946" width="10.28515625" style="8" customWidth="1"/>
    <col min="7947" max="7947" width="14.85546875" style="8" customWidth="1"/>
    <col min="7948" max="7948" width="13.28515625" style="8" customWidth="1"/>
    <col min="7949" max="7949" width="12.5703125" style="8" customWidth="1"/>
    <col min="7950" max="7950" width="14.85546875" style="8" customWidth="1"/>
    <col min="7951" max="8189" width="9.140625" style="8"/>
    <col min="8190" max="8190" width="12.140625" style="8" customWidth="1"/>
    <col min="8191" max="8191" width="14.42578125" style="8" customWidth="1"/>
    <col min="8192" max="8192" width="16.7109375" style="8" customWidth="1"/>
    <col min="8193" max="8193" width="14.28515625" style="8" customWidth="1"/>
    <col min="8194" max="8194" width="16.140625" style="8" customWidth="1"/>
    <col min="8195" max="8195" width="11.7109375" style="8" customWidth="1"/>
    <col min="8196" max="8196" width="12.28515625" style="8" customWidth="1"/>
    <col min="8197" max="8197" width="13.28515625" style="8" customWidth="1"/>
    <col min="8198" max="8198" width="11.42578125" style="8" customWidth="1"/>
    <col min="8199" max="8199" width="76.85546875" style="8" customWidth="1"/>
    <col min="8200" max="8200" width="12.5703125" style="8" customWidth="1"/>
    <col min="8201" max="8201" width="11.7109375" style="8" customWidth="1"/>
    <col min="8202" max="8202" width="10.28515625" style="8" customWidth="1"/>
    <col min="8203" max="8203" width="14.85546875" style="8" customWidth="1"/>
    <col min="8204" max="8204" width="13.28515625" style="8" customWidth="1"/>
    <col min="8205" max="8205" width="12.5703125" style="8" customWidth="1"/>
    <col min="8206" max="8206" width="14.85546875" style="8" customWidth="1"/>
    <col min="8207" max="8445" width="9.140625" style="8"/>
    <col min="8446" max="8446" width="12.140625" style="8" customWidth="1"/>
    <col min="8447" max="8447" width="14.42578125" style="8" customWidth="1"/>
    <col min="8448" max="8448" width="16.7109375" style="8" customWidth="1"/>
    <col min="8449" max="8449" width="14.28515625" style="8" customWidth="1"/>
    <col min="8450" max="8450" width="16.140625" style="8" customWidth="1"/>
    <col min="8451" max="8451" width="11.7109375" style="8" customWidth="1"/>
    <col min="8452" max="8452" width="12.28515625" style="8" customWidth="1"/>
    <col min="8453" max="8453" width="13.28515625" style="8" customWidth="1"/>
    <col min="8454" max="8454" width="11.42578125" style="8" customWidth="1"/>
    <col min="8455" max="8455" width="76.85546875" style="8" customWidth="1"/>
    <col min="8456" max="8456" width="12.5703125" style="8" customWidth="1"/>
    <col min="8457" max="8457" width="11.7109375" style="8" customWidth="1"/>
    <col min="8458" max="8458" width="10.28515625" style="8" customWidth="1"/>
    <col min="8459" max="8459" width="14.85546875" style="8" customWidth="1"/>
    <col min="8460" max="8460" width="13.28515625" style="8" customWidth="1"/>
    <col min="8461" max="8461" width="12.5703125" style="8" customWidth="1"/>
    <col min="8462" max="8462" width="14.85546875" style="8" customWidth="1"/>
    <col min="8463" max="8701" width="9.140625" style="8"/>
    <col min="8702" max="8702" width="12.140625" style="8" customWidth="1"/>
    <col min="8703" max="8703" width="14.42578125" style="8" customWidth="1"/>
    <col min="8704" max="8704" width="16.7109375" style="8" customWidth="1"/>
    <col min="8705" max="8705" width="14.28515625" style="8" customWidth="1"/>
    <col min="8706" max="8706" width="16.140625" style="8" customWidth="1"/>
    <col min="8707" max="8707" width="11.7109375" style="8" customWidth="1"/>
    <col min="8708" max="8708" width="12.28515625" style="8" customWidth="1"/>
    <col min="8709" max="8709" width="13.28515625" style="8" customWidth="1"/>
    <col min="8710" max="8710" width="11.42578125" style="8" customWidth="1"/>
    <col min="8711" max="8711" width="76.85546875" style="8" customWidth="1"/>
    <col min="8712" max="8712" width="12.5703125" style="8" customWidth="1"/>
    <col min="8713" max="8713" width="11.7109375" style="8" customWidth="1"/>
    <col min="8714" max="8714" width="10.28515625" style="8" customWidth="1"/>
    <col min="8715" max="8715" width="14.85546875" style="8" customWidth="1"/>
    <col min="8716" max="8716" width="13.28515625" style="8" customWidth="1"/>
    <col min="8717" max="8717" width="12.5703125" style="8" customWidth="1"/>
    <col min="8718" max="8718" width="14.85546875" style="8" customWidth="1"/>
    <col min="8719" max="8957" width="9.140625" style="8"/>
    <col min="8958" max="8958" width="12.140625" style="8" customWidth="1"/>
    <col min="8959" max="8959" width="14.42578125" style="8" customWidth="1"/>
    <col min="8960" max="8960" width="16.7109375" style="8" customWidth="1"/>
    <col min="8961" max="8961" width="14.28515625" style="8" customWidth="1"/>
    <col min="8962" max="8962" width="16.140625" style="8" customWidth="1"/>
    <col min="8963" max="8963" width="11.7109375" style="8" customWidth="1"/>
    <col min="8964" max="8964" width="12.28515625" style="8" customWidth="1"/>
    <col min="8965" max="8965" width="13.28515625" style="8" customWidth="1"/>
    <col min="8966" max="8966" width="11.42578125" style="8" customWidth="1"/>
    <col min="8967" max="8967" width="76.85546875" style="8" customWidth="1"/>
    <col min="8968" max="8968" width="12.5703125" style="8" customWidth="1"/>
    <col min="8969" max="8969" width="11.7109375" style="8" customWidth="1"/>
    <col min="8970" max="8970" width="10.28515625" style="8" customWidth="1"/>
    <col min="8971" max="8971" width="14.85546875" style="8" customWidth="1"/>
    <col min="8972" max="8972" width="13.28515625" style="8" customWidth="1"/>
    <col min="8973" max="8973" width="12.5703125" style="8" customWidth="1"/>
    <col min="8974" max="8974" width="14.85546875" style="8" customWidth="1"/>
    <col min="8975" max="9213" width="9.140625" style="8"/>
    <col min="9214" max="9214" width="12.140625" style="8" customWidth="1"/>
    <col min="9215" max="9215" width="14.42578125" style="8" customWidth="1"/>
    <col min="9216" max="9216" width="16.7109375" style="8" customWidth="1"/>
    <col min="9217" max="9217" width="14.28515625" style="8" customWidth="1"/>
    <col min="9218" max="9218" width="16.140625" style="8" customWidth="1"/>
    <col min="9219" max="9219" width="11.7109375" style="8" customWidth="1"/>
    <col min="9220" max="9220" width="12.28515625" style="8" customWidth="1"/>
    <col min="9221" max="9221" width="13.28515625" style="8" customWidth="1"/>
    <col min="9222" max="9222" width="11.42578125" style="8" customWidth="1"/>
    <col min="9223" max="9223" width="76.85546875" style="8" customWidth="1"/>
    <col min="9224" max="9224" width="12.5703125" style="8" customWidth="1"/>
    <col min="9225" max="9225" width="11.7109375" style="8" customWidth="1"/>
    <col min="9226" max="9226" width="10.28515625" style="8" customWidth="1"/>
    <col min="9227" max="9227" width="14.85546875" style="8" customWidth="1"/>
    <col min="9228" max="9228" width="13.28515625" style="8" customWidth="1"/>
    <col min="9229" max="9229" width="12.5703125" style="8" customWidth="1"/>
    <col min="9230" max="9230" width="14.85546875" style="8" customWidth="1"/>
    <col min="9231" max="9469" width="9.140625" style="8"/>
    <col min="9470" max="9470" width="12.140625" style="8" customWidth="1"/>
    <col min="9471" max="9471" width="14.42578125" style="8" customWidth="1"/>
    <col min="9472" max="9472" width="16.7109375" style="8" customWidth="1"/>
    <col min="9473" max="9473" width="14.28515625" style="8" customWidth="1"/>
    <col min="9474" max="9474" width="16.140625" style="8" customWidth="1"/>
    <col min="9475" max="9475" width="11.7109375" style="8" customWidth="1"/>
    <col min="9476" max="9476" width="12.28515625" style="8" customWidth="1"/>
    <col min="9477" max="9477" width="13.28515625" style="8" customWidth="1"/>
    <col min="9478" max="9478" width="11.42578125" style="8" customWidth="1"/>
    <col min="9479" max="9479" width="76.85546875" style="8" customWidth="1"/>
    <col min="9480" max="9480" width="12.5703125" style="8" customWidth="1"/>
    <col min="9481" max="9481" width="11.7109375" style="8" customWidth="1"/>
    <col min="9482" max="9482" width="10.28515625" style="8" customWidth="1"/>
    <col min="9483" max="9483" width="14.85546875" style="8" customWidth="1"/>
    <col min="9484" max="9484" width="13.28515625" style="8" customWidth="1"/>
    <col min="9485" max="9485" width="12.5703125" style="8" customWidth="1"/>
    <col min="9486" max="9486" width="14.85546875" style="8" customWidth="1"/>
    <col min="9487" max="9725" width="9.140625" style="8"/>
    <col min="9726" max="9726" width="12.140625" style="8" customWidth="1"/>
    <col min="9727" max="9727" width="14.42578125" style="8" customWidth="1"/>
    <col min="9728" max="9728" width="16.7109375" style="8" customWidth="1"/>
    <col min="9729" max="9729" width="14.28515625" style="8" customWidth="1"/>
    <col min="9730" max="9730" width="16.140625" style="8" customWidth="1"/>
    <col min="9731" max="9731" width="11.7109375" style="8" customWidth="1"/>
    <col min="9732" max="9732" width="12.28515625" style="8" customWidth="1"/>
    <col min="9733" max="9733" width="13.28515625" style="8" customWidth="1"/>
    <col min="9734" max="9734" width="11.42578125" style="8" customWidth="1"/>
    <col min="9735" max="9735" width="76.85546875" style="8" customWidth="1"/>
    <col min="9736" max="9736" width="12.5703125" style="8" customWidth="1"/>
    <col min="9737" max="9737" width="11.7109375" style="8" customWidth="1"/>
    <col min="9738" max="9738" width="10.28515625" style="8" customWidth="1"/>
    <col min="9739" max="9739" width="14.85546875" style="8" customWidth="1"/>
    <col min="9740" max="9740" width="13.28515625" style="8" customWidth="1"/>
    <col min="9741" max="9741" width="12.5703125" style="8" customWidth="1"/>
    <col min="9742" max="9742" width="14.85546875" style="8" customWidth="1"/>
    <col min="9743" max="9981" width="9.140625" style="8"/>
    <col min="9982" max="9982" width="12.140625" style="8" customWidth="1"/>
    <col min="9983" max="9983" width="14.42578125" style="8" customWidth="1"/>
    <col min="9984" max="9984" width="16.7109375" style="8" customWidth="1"/>
    <col min="9985" max="9985" width="14.28515625" style="8" customWidth="1"/>
    <col min="9986" max="9986" width="16.140625" style="8" customWidth="1"/>
    <col min="9987" max="9987" width="11.7109375" style="8" customWidth="1"/>
    <col min="9988" max="9988" width="12.28515625" style="8" customWidth="1"/>
    <col min="9989" max="9989" width="13.28515625" style="8" customWidth="1"/>
    <col min="9990" max="9990" width="11.42578125" style="8" customWidth="1"/>
    <col min="9991" max="9991" width="76.85546875" style="8" customWidth="1"/>
    <col min="9992" max="9992" width="12.5703125" style="8" customWidth="1"/>
    <col min="9993" max="9993" width="11.7109375" style="8" customWidth="1"/>
    <col min="9994" max="9994" width="10.28515625" style="8" customWidth="1"/>
    <col min="9995" max="9995" width="14.85546875" style="8" customWidth="1"/>
    <col min="9996" max="9996" width="13.28515625" style="8" customWidth="1"/>
    <col min="9997" max="9997" width="12.5703125" style="8" customWidth="1"/>
    <col min="9998" max="9998" width="14.85546875" style="8" customWidth="1"/>
    <col min="9999" max="10237" width="9.140625" style="8"/>
    <col min="10238" max="10238" width="12.140625" style="8" customWidth="1"/>
    <col min="10239" max="10239" width="14.42578125" style="8" customWidth="1"/>
    <col min="10240" max="10240" width="16.7109375" style="8" customWidth="1"/>
    <col min="10241" max="10241" width="14.28515625" style="8" customWidth="1"/>
    <col min="10242" max="10242" width="16.140625" style="8" customWidth="1"/>
    <col min="10243" max="10243" width="11.7109375" style="8" customWidth="1"/>
    <col min="10244" max="10244" width="12.28515625" style="8" customWidth="1"/>
    <col min="10245" max="10245" width="13.28515625" style="8" customWidth="1"/>
    <col min="10246" max="10246" width="11.42578125" style="8" customWidth="1"/>
    <col min="10247" max="10247" width="76.85546875" style="8" customWidth="1"/>
    <col min="10248" max="10248" width="12.5703125" style="8" customWidth="1"/>
    <col min="10249" max="10249" width="11.7109375" style="8" customWidth="1"/>
    <col min="10250" max="10250" width="10.28515625" style="8" customWidth="1"/>
    <col min="10251" max="10251" width="14.85546875" style="8" customWidth="1"/>
    <col min="10252" max="10252" width="13.28515625" style="8" customWidth="1"/>
    <col min="10253" max="10253" width="12.5703125" style="8" customWidth="1"/>
    <col min="10254" max="10254" width="14.85546875" style="8" customWidth="1"/>
    <col min="10255" max="10493" width="9.140625" style="8"/>
    <col min="10494" max="10494" width="12.140625" style="8" customWidth="1"/>
    <col min="10495" max="10495" width="14.42578125" style="8" customWidth="1"/>
    <col min="10496" max="10496" width="16.7109375" style="8" customWidth="1"/>
    <col min="10497" max="10497" width="14.28515625" style="8" customWidth="1"/>
    <col min="10498" max="10498" width="16.140625" style="8" customWidth="1"/>
    <col min="10499" max="10499" width="11.7109375" style="8" customWidth="1"/>
    <col min="10500" max="10500" width="12.28515625" style="8" customWidth="1"/>
    <col min="10501" max="10501" width="13.28515625" style="8" customWidth="1"/>
    <col min="10502" max="10502" width="11.42578125" style="8" customWidth="1"/>
    <col min="10503" max="10503" width="76.85546875" style="8" customWidth="1"/>
    <col min="10504" max="10504" width="12.5703125" style="8" customWidth="1"/>
    <col min="10505" max="10505" width="11.7109375" style="8" customWidth="1"/>
    <col min="10506" max="10506" width="10.28515625" style="8" customWidth="1"/>
    <col min="10507" max="10507" width="14.85546875" style="8" customWidth="1"/>
    <col min="10508" max="10508" width="13.28515625" style="8" customWidth="1"/>
    <col min="10509" max="10509" width="12.5703125" style="8" customWidth="1"/>
    <col min="10510" max="10510" width="14.85546875" style="8" customWidth="1"/>
    <col min="10511" max="10749" width="9.140625" style="8"/>
    <col min="10750" max="10750" width="12.140625" style="8" customWidth="1"/>
    <col min="10751" max="10751" width="14.42578125" style="8" customWidth="1"/>
    <col min="10752" max="10752" width="16.7109375" style="8" customWidth="1"/>
    <col min="10753" max="10753" width="14.28515625" style="8" customWidth="1"/>
    <col min="10754" max="10754" width="16.140625" style="8" customWidth="1"/>
    <col min="10755" max="10755" width="11.7109375" style="8" customWidth="1"/>
    <col min="10756" max="10756" width="12.28515625" style="8" customWidth="1"/>
    <col min="10757" max="10757" width="13.28515625" style="8" customWidth="1"/>
    <col min="10758" max="10758" width="11.42578125" style="8" customWidth="1"/>
    <col min="10759" max="10759" width="76.85546875" style="8" customWidth="1"/>
    <col min="10760" max="10760" width="12.5703125" style="8" customWidth="1"/>
    <col min="10761" max="10761" width="11.7109375" style="8" customWidth="1"/>
    <col min="10762" max="10762" width="10.28515625" style="8" customWidth="1"/>
    <col min="10763" max="10763" width="14.85546875" style="8" customWidth="1"/>
    <col min="10764" max="10764" width="13.28515625" style="8" customWidth="1"/>
    <col min="10765" max="10765" width="12.5703125" style="8" customWidth="1"/>
    <col min="10766" max="10766" width="14.85546875" style="8" customWidth="1"/>
    <col min="10767" max="11005" width="9.140625" style="8"/>
    <col min="11006" max="11006" width="12.140625" style="8" customWidth="1"/>
    <col min="11007" max="11007" width="14.42578125" style="8" customWidth="1"/>
    <col min="11008" max="11008" width="16.7109375" style="8" customWidth="1"/>
    <col min="11009" max="11009" width="14.28515625" style="8" customWidth="1"/>
    <col min="11010" max="11010" width="16.140625" style="8" customWidth="1"/>
    <col min="11011" max="11011" width="11.7109375" style="8" customWidth="1"/>
    <col min="11012" max="11012" width="12.28515625" style="8" customWidth="1"/>
    <col min="11013" max="11013" width="13.28515625" style="8" customWidth="1"/>
    <col min="11014" max="11014" width="11.42578125" style="8" customWidth="1"/>
    <col min="11015" max="11015" width="76.85546875" style="8" customWidth="1"/>
    <col min="11016" max="11016" width="12.5703125" style="8" customWidth="1"/>
    <col min="11017" max="11017" width="11.7109375" style="8" customWidth="1"/>
    <col min="11018" max="11018" width="10.28515625" style="8" customWidth="1"/>
    <col min="11019" max="11019" width="14.85546875" style="8" customWidth="1"/>
    <col min="11020" max="11020" width="13.28515625" style="8" customWidth="1"/>
    <col min="11021" max="11021" width="12.5703125" style="8" customWidth="1"/>
    <col min="11022" max="11022" width="14.85546875" style="8" customWidth="1"/>
    <col min="11023" max="11261" width="9.140625" style="8"/>
    <col min="11262" max="11262" width="12.140625" style="8" customWidth="1"/>
    <col min="11263" max="11263" width="14.42578125" style="8" customWidth="1"/>
    <col min="11264" max="11264" width="16.7109375" style="8" customWidth="1"/>
    <col min="11265" max="11265" width="14.28515625" style="8" customWidth="1"/>
    <col min="11266" max="11266" width="16.140625" style="8" customWidth="1"/>
    <col min="11267" max="11267" width="11.7109375" style="8" customWidth="1"/>
    <col min="11268" max="11268" width="12.28515625" style="8" customWidth="1"/>
    <col min="11269" max="11269" width="13.28515625" style="8" customWidth="1"/>
    <col min="11270" max="11270" width="11.42578125" style="8" customWidth="1"/>
    <col min="11271" max="11271" width="76.85546875" style="8" customWidth="1"/>
    <col min="11272" max="11272" width="12.5703125" style="8" customWidth="1"/>
    <col min="11273" max="11273" width="11.7109375" style="8" customWidth="1"/>
    <col min="11274" max="11274" width="10.28515625" style="8" customWidth="1"/>
    <col min="11275" max="11275" width="14.85546875" style="8" customWidth="1"/>
    <col min="11276" max="11276" width="13.28515625" style="8" customWidth="1"/>
    <col min="11277" max="11277" width="12.5703125" style="8" customWidth="1"/>
    <col min="11278" max="11278" width="14.85546875" style="8" customWidth="1"/>
    <col min="11279" max="11517" width="9.140625" style="8"/>
    <col min="11518" max="11518" width="12.140625" style="8" customWidth="1"/>
    <col min="11519" max="11519" width="14.42578125" style="8" customWidth="1"/>
    <col min="11520" max="11520" width="16.7109375" style="8" customWidth="1"/>
    <col min="11521" max="11521" width="14.28515625" style="8" customWidth="1"/>
    <col min="11522" max="11522" width="16.140625" style="8" customWidth="1"/>
    <col min="11523" max="11523" width="11.7109375" style="8" customWidth="1"/>
    <col min="11524" max="11524" width="12.28515625" style="8" customWidth="1"/>
    <col min="11525" max="11525" width="13.28515625" style="8" customWidth="1"/>
    <col min="11526" max="11526" width="11.42578125" style="8" customWidth="1"/>
    <col min="11527" max="11527" width="76.85546875" style="8" customWidth="1"/>
    <col min="11528" max="11528" width="12.5703125" style="8" customWidth="1"/>
    <col min="11529" max="11529" width="11.7109375" style="8" customWidth="1"/>
    <col min="11530" max="11530" width="10.28515625" style="8" customWidth="1"/>
    <col min="11531" max="11531" width="14.85546875" style="8" customWidth="1"/>
    <col min="11532" max="11532" width="13.28515625" style="8" customWidth="1"/>
    <col min="11533" max="11533" width="12.5703125" style="8" customWidth="1"/>
    <col min="11534" max="11534" width="14.85546875" style="8" customWidth="1"/>
    <col min="11535" max="11773" width="9.140625" style="8"/>
    <col min="11774" max="11774" width="12.140625" style="8" customWidth="1"/>
    <col min="11775" max="11775" width="14.42578125" style="8" customWidth="1"/>
    <col min="11776" max="11776" width="16.7109375" style="8" customWidth="1"/>
    <col min="11777" max="11777" width="14.28515625" style="8" customWidth="1"/>
    <col min="11778" max="11778" width="16.140625" style="8" customWidth="1"/>
    <col min="11779" max="11779" width="11.7109375" style="8" customWidth="1"/>
    <col min="11780" max="11780" width="12.28515625" style="8" customWidth="1"/>
    <col min="11781" max="11781" width="13.28515625" style="8" customWidth="1"/>
    <col min="11782" max="11782" width="11.42578125" style="8" customWidth="1"/>
    <col min="11783" max="11783" width="76.85546875" style="8" customWidth="1"/>
    <col min="11784" max="11784" width="12.5703125" style="8" customWidth="1"/>
    <col min="11785" max="11785" width="11.7109375" style="8" customWidth="1"/>
    <col min="11786" max="11786" width="10.28515625" style="8" customWidth="1"/>
    <col min="11787" max="11787" width="14.85546875" style="8" customWidth="1"/>
    <col min="11788" max="11788" width="13.28515625" style="8" customWidth="1"/>
    <col min="11789" max="11789" width="12.5703125" style="8" customWidth="1"/>
    <col min="11790" max="11790" width="14.85546875" style="8" customWidth="1"/>
    <col min="11791" max="12029" width="9.140625" style="8"/>
    <col min="12030" max="12030" width="12.140625" style="8" customWidth="1"/>
    <col min="12031" max="12031" width="14.42578125" style="8" customWidth="1"/>
    <col min="12032" max="12032" width="16.7109375" style="8" customWidth="1"/>
    <col min="12033" max="12033" width="14.28515625" style="8" customWidth="1"/>
    <col min="12034" max="12034" width="16.140625" style="8" customWidth="1"/>
    <col min="12035" max="12035" width="11.7109375" style="8" customWidth="1"/>
    <col min="12036" max="12036" width="12.28515625" style="8" customWidth="1"/>
    <col min="12037" max="12037" width="13.28515625" style="8" customWidth="1"/>
    <col min="12038" max="12038" width="11.42578125" style="8" customWidth="1"/>
    <col min="12039" max="12039" width="76.85546875" style="8" customWidth="1"/>
    <col min="12040" max="12040" width="12.5703125" style="8" customWidth="1"/>
    <col min="12041" max="12041" width="11.7109375" style="8" customWidth="1"/>
    <col min="12042" max="12042" width="10.28515625" style="8" customWidth="1"/>
    <col min="12043" max="12043" width="14.85546875" style="8" customWidth="1"/>
    <col min="12044" max="12044" width="13.28515625" style="8" customWidth="1"/>
    <col min="12045" max="12045" width="12.5703125" style="8" customWidth="1"/>
    <col min="12046" max="12046" width="14.85546875" style="8" customWidth="1"/>
    <col min="12047" max="12285" width="9.140625" style="8"/>
    <col min="12286" max="12286" width="12.140625" style="8" customWidth="1"/>
    <col min="12287" max="12287" width="14.42578125" style="8" customWidth="1"/>
    <col min="12288" max="12288" width="16.7109375" style="8" customWidth="1"/>
    <col min="12289" max="12289" width="14.28515625" style="8" customWidth="1"/>
    <col min="12290" max="12290" width="16.140625" style="8" customWidth="1"/>
    <col min="12291" max="12291" width="11.7109375" style="8" customWidth="1"/>
    <col min="12292" max="12292" width="12.28515625" style="8" customWidth="1"/>
    <col min="12293" max="12293" width="13.28515625" style="8" customWidth="1"/>
    <col min="12294" max="12294" width="11.42578125" style="8" customWidth="1"/>
    <col min="12295" max="12295" width="76.85546875" style="8" customWidth="1"/>
    <col min="12296" max="12296" width="12.5703125" style="8" customWidth="1"/>
    <col min="12297" max="12297" width="11.7109375" style="8" customWidth="1"/>
    <col min="12298" max="12298" width="10.28515625" style="8" customWidth="1"/>
    <col min="12299" max="12299" width="14.85546875" style="8" customWidth="1"/>
    <col min="12300" max="12300" width="13.28515625" style="8" customWidth="1"/>
    <col min="12301" max="12301" width="12.5703125" style="8" customWidth="1"/>
    <col min="12302" max="12302" width="14.85546875" style="8" customWidth="1"/>
    <col min="12303" max="12541" width="9.140625" style="8"/>
    <col min="12542" max="12542" width="12.140625" style="8" customWidth="1"/>
    <col min="12543" max="12543" width="14.42578125" style="8" customWidth="1"/>
    <col min="12544" max="12544" width="16.7109375" style="8" customWidth="1"/>
    <col min="12545" max="12545" width="14.28515625" style="8" customWidth="1"/>
    <col min="12546" max="12546" width="16.140625" style="8" customWidth="1"/>
    <col min="12547" max="12547" width="11.7109375" style="8" customWidth="1"/>
    <col min="12548" max="12548" width="12.28515625" style="8" customWidth="1"/>
    <col min="12549" max="12549" width="13.28515625" style="8" customWidth="1"/>
    <col min="12550" max="12550" width="11.42578125" style="8" customWidth="1"/>
    <col min="12551" max="12551" width="76.85546875" style="8" customWidth="1"/>
    <col min="12552" max="12552" width="12.5703125" style="8" customWidth="1"/>
    <col min="12553" max="12553" width="11.7109375" style="8" customWidth="1"/>
    <col min="12554" max="12554" width="10.28515625" style="8" customWidth="1"/>
    <col min="12555" max="12555" width="14.85546875" style="8" customWidth="1"/>
    <col min="12556" max="12556" width="13.28515625" style="8" customWidth="1"/>
    <col min="12557" max="12557" width="12.5703125" style="8" customWidth="1"/>
    <col min="12558" max="12558" width="14.85546875" style="8" customWidth="1"/>
    <col min="12559" max="12797" width="9.140625" style="8"/>
    <col min="12798" max="12798" width="12.140625" style="8" customWidth="1"/>
    <col min="12799" max="12799" width="14.42578125" style="8" customWidth="1"/>
    <col min="12800" max="12800" width="16.7109375" style="8" customWidth="1"/>
    <col min="12801" max="12801" width="14.28515625" style="8" customWidth="1"/>
    <col min="12802" max="12802" width="16.140625" style="8" customWidth="1"/>
    <col min="12803" max="12803" width="11.7109375" style="8" customWidth="1"/>
    <col min="12804" max="12804" width="12.28515625" style="8" customWidth="1"/>
    <col min="12805" max="12805" width="13.28515625" style="8" customWidth="1"/>
    <col min="12806" max="12806" width="11.42578125" style="8" customWidth="1"/>
    <col min="12807" max="12807" width="76.85546875" style="8" customWidth="1"/>
    <col min="12808" max="12808" width="12.5703125" style="8" customWidth="1"/>
    <col min="12809" max="12809" width="11.7109375" style="8" customWidth="1"/>
    <col min="12810" max="12810" width="10.28515625" style="8" customWidth="1"/>
    <col min="12811" max="12811" width="14.85546875" style="8" customWidth="1"/>
    <col min="12812" max="12812" width="13.28515625" style="8" customWidth="1"/>
    <col min="12813" max="12813" width="12.5703125" style="8" customWidth="1"/>
    <col min="12814" max="12814" width="14.85546875" style="8" customWidth="1"/>
    <col min="12815" max="13053" width="9.140625" style="8"/>
    <col min="13054" max="13054" width="12.140625" style="8" customWidth="1"/>
    <col min="13055" max="13055" width="14.42578125" style="8" customWidth="1"/>
    <col min="13056" max="13056" width="16.7109375" style="8" customWidth="1"/>
    <col min="13057" max="13057" width="14.28515625" style="8" customWidth="1"/>
    <col min="13058" max="13058" width="16.140625" style="8" customWidth="1"/>
    <col min="13059" max="13059" width="11.7109375" style="8" customWidth="1"/>
    <col min="13060" max="13060" width="12.28515625" style="8" customWidth="1"/>
    <col min="13061" max="13061" width="13.28515625" style="8" customWidth="1"/>
    <col min="13062" max="13062" width="11.42578125" style="8" customWidth="1"/>
    <col min="13063" max="13063" width="76.85546875" style="8" customWidth="1"/>
    <col min="13064" max="13064" width="12.5703125" style="8" customWidth="1"/>
    <col min="13065" max="13065" width="11.7109375" style="8" customWidth="1"/>
    <col min="13066" max="13066" width="10.28515625" style="8" customWidth="1"/>
    <col min="13067" max="13067" width="14.85546875" style="8" customWidth="1"/>
    <col min="13068" max="13068" width="13.28515625" style="8" customWidth="1"/>
    <col min="13069" max="13069" width="12.5703125" style="8" customWidth="1"/>
    <col min="13070" max="13070" width="14.85546875" style="8" customWidth="1"/>
    <col min="13071" max="13309" width="9.140625" style="8"/>
    <col min="13310" max="13310" width="12.140625" style="8" customWidth="1"/>
    <col min="13311" max="13311" width="14.42578125" style="8" customWidth="1"/>
    <col min="13312" max="13312" width="16.7109375" style="8" customWidth="1"/>
    <col min="13313" max="13313" width="14.28515625" style="8" customWidth="1"/>
    <col min="13314" max="13314" width="16.140625" style="8" customWidth="1"/>
    <col min="13315" max="13315" width="11.7109375" style="8" customWidth="1"/>
    <col min="13316" max="13316" width="12.28515625" style="8" customWidth="1"/>
    <col min="13317" max="13317" width="13.28515625" style="8" customWidth="1"/>
    <col min="13318" max="13318" width="11.42578125" style="8" customWidth="1"/>
    <col min="13319" max="13319" width="76.85546875" style="8" customWidth="1"/>
    <col min="13320" max="13320" width="12.5703125" style="8" customWidth="1"/>
    <col min="13321" max="13321" width="11.7109375" style="8" customWidth="1"/>
    <col min="13322" max="13322" width="10.28515625" style="8" customWidth="1"/>
    <col min="13323" max="13323" width="14.85546875" style="8" customWidth="1"/>
    <col min="13324" max="13324" width="13.28515625" style="8" customWidth="1"/>
    <col min="13325" max="13325" width="12.5703125" style="8" customWidth="1"/>
    <col min="13326" max="13326" width="14.85546875" style="8" customWidth="1"/>
    <col min="13327" max="13565" width="9.140625" style="8"/>
    <col min="13566" max="13566" width="12.140625" style="8" customWidth="1"/>
    <col min="13567" max="13567" width="14.42578125" style="8" customWidth="1"/>
    <col min="13568" max="13568" width="16.7109375" style="8" customWidth="1"/>
    <col min="13569" max="13569" width="14.28515625" style="8" customWidth="1"/>
    <col min="13570" max="13570" width="16.140625" style="8" customWidth="1"/>
    <col min="13571" max="13571" width="11.7109375" style="8" customWidth="1"/>
    <col min="13572" max="13572" width="12.28515625" style="8" customWidth="1"/>
    <col min="13573" max="13573" width="13.28515625" style="8" customWidth="1"/>
    <col min="13574" max="13574" width="11.42578125" style="8" customWidth="1"/>
    <col min="13575" max="13575" width="76.85546875" style="8" customWidth="1"/>
    <col min="13576" max="13576" width="12.5703125" style="8" customWidth="1"/>
    <col min="13577" max="13577" width="11.7109375" style="8" customWidth="1"/>
    <col min="13578" max="13578" width="10.28515625" style="8" customWidth="1"/>
    <col min="13579" max="13579" width="14.85546875" style="8" customWidth="1"/>
    <col min="13580" max="13580" width="13.28515625" style="8" customWidth="1"/>
    <col min="13581" max="13581" width="12.5703125" style="8" customWidth="1"/>
    <col min="13582" max="13582" width="14.85546875" style="8" customWidth="1"/>
    <col min="13583" max="13821" width="9.140625" style="8"/>
    <col min="13822" max="13822" width="12.140625" style="8" customWidth="1"/>
    <col min="13823" max="13823" width="14.42578125" style="8" customWidth="1"/>
    <col min="13824" max="13824" width="16.7109375" style="8" customWidth="1"/>
    <col min="13825" max="13825" width="14.28515625" style="8" customWidth="1"/>
    <col min="13826" max="13826" width="16.140625" style="8" customWidth="1"/>
    <col min="13827" max="13827" width="11.7109375" style="8" customWidth="1"/>
    <col min="13828" max="13828" width="12.28515625" style="8" customWidth="1"/>
    <col min="13829" max="13829" width="13.28515625" style="8" customWidth="1"/>
    <col min="13830" max="13830" width="11.42578125" style="8" customWidth="1"/>
    <col min="13831" max="13831" width="76.85546875" style="8" customWidth="1"/>
    <col min="13832" max="13832" width="12.5703125" style="8" customWidth="1"/>
    <col min="13833" max="13833" width="11.7109375" style="8" customWidth="1"/>
    <col min="13834" max="13834" width="10.28515625" style="8" customWidth="1"/>
    <col min="13835" max="13835" width="14.85546875" style="8" customWidth="1"/>
    <col min="13836" max="13836" width="13.28515625" style="8" customWidth="1"/>
    <col min="13837" max="13837" width="12.5703125" style="8" customWidth="1"/>
    <col min="13838" max="13838" width="14.85546875" style="8" customWidth="1"/>
    <col min="13839" max="14077" width="9.140625" style="8"/>
    <col min="14078" max="14078" width="12.140625" style="8" customWidth="1"/>
    <col min="14079" max="14079" width="14.42578125" style="8" customWidth="1"/>
    <col min="14080" max="14080" width="16.7109375" style="8" customWidth="1"/>
    <col min="14081" max="14081" width="14.28515625" style="8" customWidth="1"/>
    <col min="14082" max="14082" width="16.140625" style="8" customWidth="1"/>
    <col min="14083" max="14083" width="11.7109375" style="8" customWidth="1"/>
    <col min="14084" max="14084" width="12.28515625" style="8" customWidth="1"/>
    <col min="14085" max="14085" width="13.28515625" style="8" customWidth="1"/>
    <col min="14086" max="14086" width="11.42578125" style="8" customWidth="1"/>
    <col min="14087" max="14087" width="76.85546875" style="8" customWidth="1"/>
    <col min="14088" max="14088" width="12.5703125" style="8" customWidth="1"/>
    <col min="14089" max="14089" width="11.7109375" style="8" customWidth="1"/>
    <col min="14090" max="14090" width="10.28515625" style="8" customWidth="1"/>
    <col min="14091" max="14091" width="14.85546875" style="8" customWidth="1"/>
    <col min="14092" max="14092" width="13.28515625" style="8" customWidth="1"/>
    <col min="14093" max="14093" width="12.5703125" style="8" customWidth="1"/>
    <col min="14094" max="14094" width="14.85546875" style="8" customWidth="1"/>
    <col min="14095" max="14333" width="9.140625" style="8"/>
    <col min="14334" max="14334" width="12.140625" style="8" customWidth="1"/>
    <col min="14335" max="14335" width="14.42578125" style="8" customWidth="1"/>
    <col min="14336" max="14336" width="16.7109375" style="8" customWidth="1"/>
    <col min="14337" max="14337" width="14.28515625" style="8" customWidth="1"/>
    <col min="14338" max="14338" width="16.140625" style="8" customWidth="1"/>
    <col min="14339" max="14339" width="11.7109375" style="8" customWidth="1"/>
    <col min="14340" max="14340" width="12.28515625" style="8" customWidth="1"/>
    <col min="14341" max="14341" width="13.28515625" style="8" customWidth="1"/>
    <col min="14342" max="14342" width="11.42578125" style="8" customWidth="1"/>
    <col min="14343" max="14343" width="76.85546875" style="8" customWidth="1"/>
    <col min="14344" max="14344" width="12.5703125" style="8" customWidth="1"/>
    <col min="14345" max="14345" width="11.7109375" style="8" customWidth="1"/>
    <col min="14346" max="14346" width="10.28515625" style="8" customWidth="1"/>
    <col min="14347" max="14347" width="14.85546875" style="8" customWidth="1"/>
    <col min="14348" max="14348" width="13.28515625" style="8" customWidth="1"/>
    <col min="14349" max="14349" width="12.5703125" style="8" customWidth="1"/>
    <col min="14350" max="14350" width="14.85546875" style="8" customWidth="1"/>
    <col min="14351" max="14589" width="9.140625" style="8"/>
    <col min="14590" max="14590" width="12.140625" style="8" customWidth="1"/>
    <col min="14591" max="14591" width="14.42578125" style="8" customWidth="1"/>
    <col min="14592" max="14592" width="16.7109375" style="8" customWidth="1"/>
    <col min="14593" max="14593" width="14.28515625" style="8" customWidth="1"/>
    <col min="14594" max="14594" width="16.140625" style="8" customWidth="1"/>
    <col min="14595" max="14595" width="11.7109375" style="8" customWidth="1"/>
    <col min="14596" max="14596" width="12.28515625" style="8" customWidth="1"/>
    <col min="14597" max="14597" width="13.28515625" style="8" customWidth="1"/>
    <col min="14598" max="14598" width="11.42578125" style="8" customWidth="1"/>
    <col min="14599" max="14599" width="76.85546875" style="8" customWidth="1"/>
    <col min="14600" max="14600" width="12.5703125" style="8" customWidth="1"/>
    <col min="14601" max="14601" width="11.7109375" style="8" customWidth="1"/>
    <col min="14602" max="14602" width="10.28515625" style="8" customWidth="1"/>
    <col min="14603" max="14603" width="14.85546875" style="8" customWidth="1"/>
    <col min="14604" max="14604" width="13.28515625" style="8" customWidth="1"/>
    <col min="14605" max="14605" width="12.5703125" style="8" customWidth="1"/>
    <col min="14606" max="14606" width="14.85546875" style="8" customWidth="1"/>
    <col min="14607" max="14845" width="9.140625" style="8"/>
    <col min="14846" max="14846" width="12.140625" style="8" customWidth="1"/>
    <col min="14847" max="14847" width="14.42578125" style="8" customWidth="1"/>
    <col min="14848" max="14848" width="16.7109375" style="8" customWidth="1"/>
    <col min="14849" max="14849" width="14.28515625" style="8" customWidth="1"/>
    <col min="14850" max="14850" width="16.140625" style="8" customWidth="1"/>
    <col min="14851" max="14851" width="11.7109375" style="8" customWidth="1"/>
    <col min="14852" max="14852" width="12.28515625" style="8" customWidth="1"/>
    <col min="14853" max="14853" width="13.28515625" style="8" customWidth="1"/>
    <col min="14854" max="14854" width="11.42578125" style="8" customWidth="1"/>
    <col min="14855" max="14855" width="76.85546875" style="8" customWidth="1"/>
    <col min="14856" max="14856" width="12.5703125" style="8" customWidth="1"/>
    <col min="14857" max="14857" width="11.7109375" style="8" customWidth="1"/>
    <col min="14858" max="14858" width="10.28515625" style="8" customWidth="1"/>
    <col min="14859" max="14859" width="14.85546875" style="8" customWidth="1"/>
    <col min="14860" max="14860" width="13.28515625" style="8" customWidth="1"/>
    <col min="14861" max="14861" width="12.5703125" style="8" customWidth="1"/>
    <col min="14862" max="14862" width="14.85546875" style="8" customWidth="1"/>
    <col min="14863" max="15101" width="9.140625" style="8"/>
    <col min="15102" max="15102" width="12.140625" style="8" customWidth="1"/>
    <col min="15103" max="15103" width="14.42578125" style="8" customWidth="1"/>
    <col min="15104" max="15104" width="16.7109375" style="8" customWidth="1"/>
    <col min="15105" max="15105" width="14.28515625" style="8" customWidth="1"/>
    <col min="15106" max="15106" width="16.140625" style="8" customWidth="1"/>
    <col min="15107" max="15107" width="11.7109375" style="8" customWidth="1"/>
    <col min="15108" max="15108" width="12.28515625" style="8" customWidth="1"/>
    <col min="15109" max="15109" width="13.28515625" style="8" customWidth="1"/>
    <col min="15110" max="15110" width="11.42578125" style="8" customWidth="1"/>
    <col min="15111" max="15111" width="76.85546875" style="8" customWidth="1"/>
    <col min="15112" max="15112" width="12.5703125" style="8" customWidth="1"/>
    <col min="15113" max="15113" width="11.7109375" style="8" customWidth="1"/>
    <col min="15114" max="15114" width="10.28515625" style="8" customWidth="1"/>
    <col min="15115" max="15115" width="14.85546875" style="8" customWidth="1"/>
    <col min="15116" max="15116" width="13.28515625" style="8" customWidth="1"/>
    <col min="15117" max="15117" width="12.5703125" style="8" customWidth="1"/>
    <col min="15118" max="15118" width="14.85546875" style="8" customWidth="1"/>
    <col min="15119" max="15357" width="9.140625" style="8"/>
    <col min="15358" max="15358" width="12.140625" style="8" customWidth="1"/>
    <col min="15359" max="15359" width="14.42578125" style="8" customWidth="1"/>
    <col min="15360" max="15360" width="16.7109375" style="8" customWidth="1"/>
    <col min="15361" max="15361" width="14.28515625" style="8" customWidth="1"/>
    <col min="15362" max="15362" width="16.140625" style="8" customWidth="1"/>
    <col min="15363" max="15363" width="11.7109375" style="8" customWidth="1"/>
    <col min="15364" max="15364" width="12.28515625" style="8" customWidth="1"/>
    <col min="15365" max="15365" width="13.28515625" style="8" customWidth="1"/>
    <col min="15366" max="15366" width="11.42578125" style="8" customWidth="1"/>
    <col min="15367" max="15367" width="76.85546875" style="8" customWidth="1"/>
    <col min="15368" max="15368" width="12.5703125" style="8" customWidth="1"/>
    <col min="15369" max="15369" width="11.7109375" style="8" customWidth="1"/>
    <col min="15370" max="15370" width="10.28515625" style="8" customWidth="1"/>
    <col min="15371" max="15371" width="14.85546875" style="8" customWidth="1"/>
    <col min="15372" max="15372" width="13.28515625" style="8" customWidth="1"/>
    <col min="15373" max="15373" width="12.5703125" style="8" customWidth="1"/>
    <col min="15374" max="15374" width="14.85546875" style="8" customWidth="1"/>
    <col min="15375" max="15613" width="9.140625" style="8"/>
    <col min="15614" max="15614" width="12.140625" style="8" customWidth="1"/>
    <col min="15615" max="15615" width="14.42578125" style="8" customWidth="1"/>
    <col min="15616" max="15616" width="16.7109375" style="8" customWidth="1"/>
    <col min="15617" max="15617" width="14.28515625" style="8" customWidth="1"/>
    <col min="15618" max="15618" width="16.140625" style="8" customWidth="1"/>
    <col min="15619" max="15619" width="11.7109375" style="8" customWidth="1"/>
    <col min="15620" max="15620" width="12.28515625" style="8" customWidth="1"/>
    <col min="15621" max="15621" width="13.28515625" style="8" customWidth="1"/>
    <col min="15622" max="15622" width="11.42578125" style="8" customWidth="1"/>
    <col min="15623" max="15623" width="76.85546875" style="8" customWidth="1"/>
    <col min="15624" max="15624" width="12.5703125" style="8" customWidth="1"/>
    <col min="15625" max="15625" width="11.7109375" style="8" customWidth="1"/>
    <col min="15626" max="15626" width="10.28515625" style="8" customWidth="1"/>
    <col min="15627" max="15627" width="14.85546875" style="8" customWidth="1"/>
    <col min="15628" max="15628" width="13.28515625" style="8" customWidth="1"/>
    <col min="15629" max="15629" width="12.5703125" style="8" customWidth="1"/>
    <col min="15630" max="15630" width="14.85546875" style="8" customWidth="1"/>
    <col min="15631" max="15869" width="9.140625" style="8"/>
    <col min="15870" max="15870" width="12.140625" style="8" customWidth="1"/>
    <col min="15871" max="15871" width="14.42578125" style="8" customWidth="1"/>
    <col min="15872" max="15872" width="16.7109375" style="8" customWidth="1"/>
    <col min="15873" max="15873" width="14.28515625" style="8" customWidth="1"/>
    <col min="15874" max="15874" width="16.140625" style="8" customWidth="1"/>
    <col min="15875" max="15875" width="11.7109375" style="8" customWidth="1"/>
    <col min="15876" max="15876" width="12.28515625" style="8" customWidth="1"/>
    <col min="15877" max="15877" width="13.28515625" style="8" customWidth="1"/>
    <col min="15878" max="15878" width="11.42578125" style="8" customWidth="1"/>
    <col min="15879" max="15879" width="76.85546875" style="8" customWidth="1"/>
    <col min="15880" max="15880" width="12.5703125" style="8" customWidth="1"/>
    <col min="15881" max="15881" width="11.7109375" style="8" customWidth="1"/>
    <col min="15882" max="15882" width="10.28515625" style="8" customWidth="1"/>
    <col min="15883" max="15883" width="14.85546875" style="8" customWidth="1"/>
    <col min="15884" max="15884" width="13.28515625" style="8" customWidth="1"/>
    <col min="15885" max="15885" width="12.5703125" style="8" customWidth="1"/>
    <col min="15886" max="15886" width="14.85546875" style="8" customWidth="1"/>
    <col min="15887" max="16125" width="9.140625" style="8"/>
    <col min="16126" max="16126" width="12.140625" style="8" customWidth="1"/>
    <col min="16127" max="16127" width="14.42578125" style="8" customWidth="1"/>
    <col min="16128" max="16128" width="16.7109375" style="8" customWidth="1"/>
    <col min="16129" max="16129" width="14.28515625" style="8" customWidth="1"/>
    <col min="16130" max="16130" width="16.140625" style="8" customWidth="1"/>
    <col min="16131" max="16131" width="11.7109375" style="8" customWidth="1"/>
    <col min="16132" max="16132" width="12.28515625" style="8" customWidth="1"/>
    <col min="16133" max="16133" width="13.28515625" style="8" customWidth="1"/>
    <col min="16134" max="16134" width="11.42578125" style="8" customWidth="1"/>
    <col min="16135" max="16135" width="76.85546875" style="8" customWidth="1"/>
    <col min="16136" max="16136" width="12.5703125" style="8" customWidth="1"/>
    <col min="16137" max="16137" width="11.7109375" style="8" customWidth="1"/>
    <col min="16138" max="16138" width="10.28515625" style="8" customWidth="1"/>
    <col min="16139" max="16139" width="14.85546875" style="8" customWidth="1"/>
    <col min="16140" max="16140" width="13.28515625" style="8" customWidth="1"/>
    <col min="16141" max="16141" width="12.5703125" style="8" customWidth="1"/>
    <col min="16142" max="16142" width="14.85546875" style="8" customWidth="1"/>
    <col min="16143" max="16384" width="9.140625" style="8"/>
  </cols>
  <sheetData>
    <row r="1" spans="1:14" s="1" customFormat="1" ht="15.75" x14ac:dyDescent="0.25">
      <c r="A1" s="2" t="s">
        <v>93</v>
      </c>
      <c r="D1" s="51"/>
      <c r="F1" s="104" t="s">
        <v>7</v>
      </c>
    </row>
    <row r="2" spans="1:14" s="1" customFormat="1" ht="15" x14ac:dyDescent="0.2">
      <c r="A2" s="19" t="s">
        <v>104</v>
      </c>
      <c r="C2" s="358" t="s">
        <v>309</v>
      </c>
      <c r="D2" s="51"/>
      <c r="F2" s="52" t="s">
        <v>8</v>
      </c>
    </row>
    <row r="3" spans="1:14" s="19" customFormat="1" ht="17.25" customHeight="1" x14ac:dyDescent="0.2">
      <c r="A3" s="19" t="s">
        <v>9</v>
      </c>
      <c r="C3" s="358" t="s">
        <v>105</v>
      </c>
      <c r="D3" s="239"/>
      <c r="E3" s="20"/>
    </row>
    <row r="4" spans="1:14" s="19" customFormat="1" ht="15.75" x14ac:dyDescent="0.25">
      <c r="A4" s="21" t="s">
        <v>10</v>
      </c>
      <c r="D4" s="239"/>
      <c r="E4" s="420"/>
      <c r="F4" s="420"/>
    </row>
    <row r="5" spans="1:14" s="19" customFormat="1" ht="12.75" x14ac:dyDescent="0.2">
      <c r="D5" s="239" t="s">
        <v>11</v>
      </c>
      <c r="E5" s="103">
        <v>46022</v>
      </c>
      <c r="F5" s="103">
        <v>45657</v>
      </c>
      <c r="G5" s="103">
        <v>45291</v>
      </c>
      <c r="H5" s="22"/>
      <c r="I5" s="22"/>
      <c r="J5" s="22"/>
      <c r="K5" s="22"/>
      <c r="L5" s="22"/>
      <c r="M5" s="22"/>
      <c r="N5" s="22"/>
    </row>
    <row r="6" spans="1:14" s="19" customFormat="1" x14ac:dyDescent="0.2">
      <c r="A6" s="7" t="s">
        <v>12</v>
      </c>
      <c r="D6" s="239"/>
      <c r="E6" s="23"/>
      <c r="F6" s="24"/>
      <c r="G6" s="24"/>
      <c r="H6" s="24"/>
      <c r="I6" s="24"/>
      <c r="J6" s="24"/>
      <c r="K6" s="24"/>
      <c r="L6" s="24"/>
      <c r="M6" s="24"/>
      <c r="N6" s="24"/>
    </row>
    <row r="7" spans="1:14" s="19" customFormat="1" ht="12.75" x14ac:dyDescent="0.2">
      <c r="A7" s="25" t="s">
        <v>13</v>
      </c>
      <c r="B7" s="26"/>
      <c r="C7" s="26"/>
      <c r="D7" s="240">
        <v>1100</v>
      </c>
      <c r="E7" s="27">
        <f>SUM(E8:E18)</f>
        <v>199517</v>
      </c>
      <c r="F7" s="27">
        <f>SUM(F8:F18)</f>
        <v>158892</v>
      </c>
      <c r="G7" s="27">
        <f>SUM(G8:G18)</f>
        <v>136886</v>
      </c>
      <c r="H7" s="28"/>
      <c r="I7" s="28"/>
      <c r="J7" s="28"/>
      <c r="K7" s="28"/>
      <c r="L7" s="28"/>
      <c r="M7" s="28"/>
      <c r="N7" s="28"/>
    </row>
    <row r="8" spans="1:14" s="18" customFormat="1" ht="12.75" x14ac:dyDescent="0.2">
      <c r="A8" s="18" t="s">
        <v>14</v>
      </c>
      <c r="D8" s="237">
        <v>1110</v>
      </c>
      <c r="E8" s="106">
        <f>18170</f>
        <v>18170</v>
      </c>
      <c r="F8" s="106">
        <v>33163</v>
      </c>
      <c r="G8" s="106">
        <v>39653</v>
      </c>
      <c r="H8" s="29"/>
      <c r="I8" s="29"/>
      <c r="J8" s="29"/>
      <c r="K8" s="29"/>
      <c r="L8" s="29"/>
      <c r="M8" s="29"/>
      <c r="N8" s="29"/>
    </row>
    <row r="9" spans="1:14" s="18" customFormat="1" ht="12.75" x14ac:dyDescent="0.2">
      <c r="A9" s="18" t="s">
        <v>15</v>
      </c>
      <c r="D9" s="237">
        <v>1120</v>
      </c>
      <c r="E9" s="106">
        <v>0</v>
      </c>
      <c r="F9" s="106">
        <v>0</v>
      </c>
      <c r="G9" s="106">
        <v>0</v>
      </c>
      <c r="H9" s="29"/>
      <c r="I9" s="29"/>
      <c r="J9" s="29"/>
      <c r="K9" s="29"/>
      <c r="L9" s="29"/>
      <c r="M9" s="29"/>
      <c r="N9" s="29"/>
    </row>
    <row r="10" spans="1:14" s="18" customFormat="1" ht="12.75" x14ac:dyDescent="0.2">
      <c r="A10" s="18" t="s">
        <v>16</v>
      </c>
      <c r="D10" s="237">
        <v>1130</v>
      </c>
      <c r="E10" s="106">
        <v>0</v>
      </c>
      <c r="F10" s="106">
        <v>0</v>
      </c>
      <c r="G10" s="106">
        <v>0</v>
      </c>
      <c r="H10" s="29"/>
      <c r="I10" s="29"/>
      <c r="J10" s="29"/>
      <c r="K10" s="29"/>
      <c r="L10" s="29"/>
      <c r="M10" s="29"/>
      <c r="N10" s="29"/>
    </row>
    <row r="11" spans="1:14" s="18" customFormat="1" ht="12.75" x14ac:dyDescent="0.2">
      <c r="A11" s="355" t="s">
        <v>17</v>
      </c>
      <c r="D11" s="237">
        <v>1140</v>
      </c>
      <c r="E11" s="106">
        <v>0</v>
      </c>
      <c r="F11" s="106">
        <v>0</v>
      </c>
      <c r="G11" s="106">
        <v>0</v>
      </c>
      <c r="H11" s="29"/>
      <c r="I11" s="29"/>
      <c r="J11" s="29"/>
      <c r="K11" s="29"/>
      <c r="L11" s="29"/>
      <c r="M11" s="29"/>
      <c r="N11" s="29"/>
    </row>
    <row r="12" spans="1:14" s="18" customFormat="1" ht="12.75" x14ac:dyDescent="0.2">
      <c r="A12" s="355" t="s">
        <v>18</v>
      </c>
      <c r="D12" s="237">
        <v>1150</v>
      </c>
      <c r="E12" s="106">
        <v>173805</v>
      </c>
      <c r="F12" s="106">
        <v>119413</v>
      </c>
      <c r="G12" s="106">
        <v>94029</v>
      </c>
      <c r="H12" s="29"/>
      <c r="I12" s="29"/>
      <c r="J12" s="29"/>
      <c r="K12" s="29"/>
      <c r="L12" s="29"/>
      <c r="M12" s="29"/>
      <c r="N12" s="29"/>
    </row>
    <row r="13" spans="1:14" s="18" customFormat="1" ht="12.75" x14ac:dyDescent="0.2">
      <c r="A13" s="355" t="s">
        <v>214</v>
      </c>
      <c r="D13" s="237">
        <v>1157</v>
      </c>
      <c r="E13" s="106">
        <v>0</v>
      </c>
      <c r="F13" s="106">
        <v>0</v>
      </c>
      <c r="G13" s="106">
        <v>0</v>
      </c>
      <c r="H13" s="29"/>
      <c r="I13" s="29"/>
      <c r="J13" s="29"/>
      <c r="K13" s="29"/>
      <c r="L13" s="29"/>
      <c r="M13" s="29"/>
      <c r="N13" s="29"/>
    </row>
    <row r="14" spans="1:14" s="18" customFormat="1" ht="12.75" x14ac:dyDescent="0.2">
      <c r="A14" s="355" t="s">
        <v>210</v>
      </c>
      <c r="D14" s="237">
        <v>1160</v>
      </c>
      <c r="E14" s="106">
        <v>0</v>
      </c>
      <c r="F14" s="106">
        <v>0</v>
      </c>
      <c r="G14" s="106">
        <v>0</v>
      </c>
      <c r="H14" s="29"/>
      <c r="I14" s="29"/>
      <c r="J14" s="29"/>
      <c r="K14" s="29"/>
      <c r="L14" s="29"/>
      <c r="M14" s="29"/>
      <c r="N14" s="29"/>
    </row>
    <row r="15" spans="1:14" s="18" customFormat="1" ht="12.75" x14ac:dyDescent="0.2">
      <c r="A15" s="355" t="s">
        <v>19</v>
      </c>
      <c r="D15" s="237">
        <v>1170</v>
      </c>
      <c r="E15" s="106">
        <v>900</v>
      </c>
      <c r="F15" s="106">
        <v>812</v>
      </c>
      <c r="G15" s="106">
        <v>822</v>
      </c>
      <c r="H15" s="29"/>
      <c r="I15" s="29"/>
      <c r="J15" s="29"/>
      <c r="K15" s="29"/>
      <c r="L15" s="29"/>
      <c r="M15" s="29"/>
      <c r="N15" s="29"/>
    </row>
    <row r="16" spans="1:14" s="18" customFormat="1" ht="12.75" x14ac:dyDescent="0.2">
      <c r="A16" s="18" t="s">
        <v>20</v>
      </c>
      <c r="D16" s="237">
        <v>1180</v>
      </c>
      <c r="E16" s="106">
        <v>6642</v>
      </c>
      <c r="F16" s="106">
        <v>5504</v>
      </c>
      <c r="G16" s="106">
        <v>2382</v>
      </c>
      <c r="H16" s="29"/>
      <c r="I16" s="29"/>
      <c r="J16" s="29"/>
      <c r="K16" s="29"/>
      <c r="L16" s="29"/>
      <c r="M16" s="29"/>
      <c r="N16" s="29"/>
    </row>
    <row r="17" spans="1:14" s="18" customFormat="1" ht="12.75" x14ac:dyDescent="0.2">
      <c r="A17" s="18" t="s">
        <v>211</v>
      </c>
      <c r="D17" s="237">
        <v>1185</v>
      </c>
      <c r="E17" s="106"/>
      <c r="F17" s="106"/>
      <c r="G17" s="106"/>
      <c r="H17" s="29"/>
      <c r="I17" s="29"/>
      <c r="J17" s="29"/>
      <c r="K17" s="29"/>
      <c r="L17" s="29"/>
      <c r="M17" s="29"/>
      <c r="N17" s="29"/>
    </row>
    <row r="18" spans="1:14" s="18" customFormat="1" ht="12.75" x14ac:dyDescent="0.2">
      <c r="A18" s="18" t="s">
        <v>21</v>
      </c>
      <c r="D18" s="237">
        <v>1190</v>
      </c>
      <c r="E18" s="106">
        <v>0</v>
      </c>
      <c r="F18" s="106">
        <v>0</v>
      </c>
      <c r="G18" s="106">
        <v>0</v>
      </c>
      <c r="H18" s="29"/>
      <c r="I18" s="29"/>
      <c r="J18" s="29"/>
      <c r="K18" s="29"/>
      <c r="L18" s="29"/>
      <c r="M18" s="29"/>
      <c r="N18" s="29"/>
    </row>
    <row r="19" spans="1:14" s="19" customFormat="1" ht="12.75" x14ac:dyDescent="0.2">
      <c r="A19" s="30" t="s">
        <v>22</v>
      </c>
      <c r="B19" s="25"/>
      <c r="C19" s="25"/>
      <c r="D19" s="240">
        <v>1200</v>
      </c>
      <c r="E19" s="27">
        <f>SUM(E20:E23,E25:E27)</f>
        <v>2935952</v>
      </c>
      <c r="F19" s="27">
        <f>SUM(F20:F23,F25:F27)</f>
        <v>2661200</v>
      </c>
      <c r="G19" s="27">
        <f>SUM(G20:G23,G25:G27)</f>
        <v>1806482</v>
      </c>
      <c r="H19" s="28"/>
      <c r="I19" s="28"/>
      <c r="J19" s="28"/>
      <c r="K19" s="28"/>
      <c r="L19" s="28"/>
      <c r="M19" s="28"/>
      <c r="N19" s="28"/>
    </row>
    <row r="20" spans="1:14" s="19" customFormat="1" ht="12.75" x14ac:dyDescent="0.2">
      <c r="A20" s="31" t="s">
        <v>6</v>
      </c>
      <c r="B20" s="32"/>
      <c r="C20" s="32"/>
      <c r="D20" s="237">
        <v>1210</v>
      </c>
      <c r="E20" s="106">
        <v>1351289</v>
      </c>
      <c r="F20" s="106">
        <v>1061615</v>
      </c>
      <c r="G20" s="106">
        <v>932045</v>
      </c>
      <c r="H20" s="29"/>
      <c r="I20" s="29"/>
      <c r="J20" s="29"/>
      <c r="K20" s="29"/>
      <c r="L20" s="29"/>
      <c r="M20" s="29"/>
      <c r="N20" s="29"/>
    </row>
    <row r="21" spans="1:14" s="19" customFormat="1" ht="12.75" x14ac:dyDescent="0.2">
      <c r="A21" s="356" t="s">
        <v>215</v>
      </c>
      <c r="B21" s="32"/>
      <c r="C21" s="32"/>
      <c r="D21" s="237">
        <v>1215</v>
      </c>
      <c r="E21" s="106">
        <v>0</v>
      </c>
      <c r="F21" s="106">
        <v>0</v>
      </c>
      <c r="G21" s="106">
        <v>0</v>
      </c>
      <c r="H21" s="29"/>
      <c r="I21" s="29"/>
      <c r="J21" s="29"/>
      <c r="K21" s="29"/>
      <c r="L21" s="29"/>
      <c r="M21" s="29"/>
      <c r="N21" s="29"/>
    </row>
    <row r="22" spans="1:14" s="19" customFormat="1" ht="12.75" x14ac:dyDescent="0.2">
      <c r="A22" s="31" t="s">
        <v>94</v>
      </c>
      <c r="B22" s="32"/>
      <c r="C22" s="32"/>
      <c r="D22" s="237">
        <v>1220</v>
      </c>
      <c r="E22" s="106">
        <v>7</v>
      </c>
      <c r="F22" s="106">
        <v>0</v>
      </c>
      <c r="G22" s="106">
        <v>0</v>
      </c>
      <c r="H22" s="29"/>
      <c r="I22" s="29"/>
      <c r="J22" s="29"/>
      <c r="K22" s="29"/>
      <c r="L22" s="29"/>
      <c r="M22" s="29"/>
      <c r="N22" s="29"/>
    </row>
    <row r="23" spans="1:14" s="19" customFormat="1" ht="12.75" x14ac:dyDescent="0.2">
      <c r="A23" s="31" t="s">
        <v>2</v>
      </c>
      <c r="B23" s="32"/>
      <c r="C23" s="32"/>
      <c r="D23" s="237">
        <v>1230</v>
      </c>
      <c r="E23" s="106">
        <v>1354059</v>
      </c>
      <c r="F23" s="106">
        <v>1470512</v>
      </c>
      <c r="G23" s="106">
        <v>732868</v>
      </c>
      <c r="H23" s="33"/>
      <c r="I23" s="33"/>
      <c r="J23" s="33"/>
      <c r="K23" s="33"/>
      <c r="L23" s="33"/>
      <c r="M23" s="33"/>
      <c r="N23" s="33"/>
    </row>
    <row r="24" spans="1:14" s="35" customFormat="1" ht="12.75" x14ac:dyDescent="0.2">
      <c r="A24" s="34" t="s">
        <v>38</v>
      </c>
      <c r="D24" s="238">
        <v>1237</v>
      </c>
      <c r="E24" s="106">
        <v>0</v>
      </c>
      <c r="F24" s="106">
        <v>0</v>
      </c>
      <c r="G24" s="106">
        <v>0</v>
      </c>
      <c r="H24" s="36"/>
      <c r="I24" s="36"/>
      <c r="J24" s="36"/>
      <c r="K24" s="36"/>
      <c r="L24" s="36"/>
      <c r="M24" s="36"/>
      <c r="N24" s="36"/>
    </row>
    <row r="25" spans="1:14" s="19" customFormat="1" ht="12.75" x14ac:dyDescent="0.2">
      <c r="A25" s="31" t="s">
        <v>95</v>
      </c>
      <c r="B25" s="32"/>
      <c r="C25" s="32"/>
      <c r="D25" s="237">
        <v>1240</v>
      </c>
      <c r="E25" s="106">
        <v>0</v>
      </c>
      <c r="F25" s="106">
        <v>15000</v>
      </c>
      <c r="G25" s="106">
        <v>75905</v>
      </c>
      <c r="H25" s="33"/>
      <c r="I25" s="33"/>
      <c r="J25" s="33"/>
      <c r="K25" s="33"/>
      <c r="L25" s="33"/>
      <c r="M25" s="33"/>
      <c r="N25" s="33"/>
    </row>
    <row r="26" spans="1:14" s="19" customFormat="1" ht="12.75" x14ac:dyDescent="0.2">
      <c r="A26" s="356" t="s">
        <v>336</v>
      </c>
      <c r="B26" s="32"/>
      <c r="C26" s="32"/>
      <c r="D26" s="237">
        <v>1250</v>
      </c>
      <c r="E26" s="106">
        <v>210093</v>
      </c>
      <c r="F26" s="106">
        <v>96119</v>
      </c>
      <c r="G26" s="106">
        <v>44876</v>
      </c>
      <c r="H26" s="33"/>
      <c r="I26" s="33"/>
      <c r="J26" s="33"/>
      <c r="K26" s="33"/>
      <c r="L26" s="33"/>
      <c r="M26" s="33"/>
      <c r="N26" s="33"/>
    </row>
    <row r="27" spans="1:14" s="19" customFormat="1" ht="12.75" x14ac:dyDescent="0.2">
      <c r="A27" s="31" t="s">
        <v>216</v>
      </c>
      <c r="B27" s="32"/>
      <c r="C27" s="32"/>
      <c r="D27" s="237">
        <v>1260</v>
      </c>
      <c r="E27" s="106">
        <v>20504</v>
      </c>
      <c r="F27" s="106">
        <v>17954</v>
      </c>
      <c r="G27" s="106">
        <v>20788</v>
      </c>
      <c r="H27" s="29"/>
      <c r="I27" s="29"/>
      <c r="J27" s="29"/>
      <c r="K27" s="29"/>
      <c r="L27" s="29"/>
      <c r="M27" s="29"/>
      <c r="N27" s="29"/>
    </row>
    <row r="28" spans="1:14" s="19" customFormat="1" ht="12.75" x14ac:dyDescent="0.2">
      <c r="A28" s="30" t="s">
        <v>23</v>
      </c>
      <c r="B28" s="25"/>
      <c r="C28" s="25"/>
      <c r="D28" s="240">
        <v>1600</v>
      </c>
      <c r="E28" s="27">
        <f>E7+E19</f>
        <v>3135469</v>
      </c>
      <c r="F28" s="27">
        <f>F7+F19</f>
        <v>2820092</v>
      </c>
      <c r="G28" s="27">
        <f>G7+G19</f>
        <v>1943368</v>
      </c>
      <c r="H28" s="28"/>
      <c r="I28" s="28"/>
      <c r="J28" s="28"/>
      <c r="K28" s="28"/>
      <c r="L28" s="28"/>
      <c r="M28" s="28"/>
      <c r="N28" s="28"/>
    </row>
    <row r="29" spans="1:14" s="19" customFormat="1" x14ac:dyDescent="0.2">
      <c r="A29" s="7" t="s">
        <v>24</v>
      </c>
      <c r="D29" s="239"/>
      <c r="E29" s="38"/>
      <c r="F29" s="39"/>
      <c r="G29" s="39"/>
      <c r="H29" s="40"/>
      <c r="I29" s="40"/>
      <c r="J29" s="40"/>
      <c r="K29" s="40"/>
      <c r="L29" s="40"/>
      <c r="M29" s="40"/>
      <c r="N29" s="40"/>
    </row>
    <row r="30" spans="1:14" s="19" customFormat="1" ht="12.75" x14ac:dyDescent="0.2">
      <c r="A30" s="25" t="s">
        <v>29</v>
      </c>
      <c r="B30" s="26"/>
      <c r="C30" s="26"/>
      <c r="D30" s="240">
        <v>1300</v>
      </c>
      <c r="E30" s="27">
        <f>SUM(E31:E36)</f>
        <v>2210804</v>
      </c>
      <c r="F30" s="27">
        <f>SUM(F31:F36)</f>
        <v>1899362</v>
      </c>
      <c r="G30" s="27">
        <f>SUM(G31:G36)</f>
        <v>1345353</v>
      </c>
      <c r="H30" s="28"/>
      <c r="I30" s="28"/>
      <c r="J30" s="28"/>
      <c r="K30" s="28"/>
      <c r="L30" s="28"/>
      <c r="M30" s="28"/>
      <c r="N30" s="28"/>
    </row>
    <row r="31" spans="1:14" s="19" customFormat="1" ht="12.75" x14ac:dyDescent="0.2">
      <c r="A31" s="19" t="s">
        <v>25</v>
      </c>
      <c r="D31" s="239">
        <v>1310</v>
      </c>
      <c r="E31" s="106">
        <v>19896</v>
      </c>
      <c r="F31" s="106">
        <v>19896</v>
      </c>
      <c r="G31" s="106">
        <v>19896</v>
      </c>
      <c r="H31" s="29"/>
      <c r="I31" s="29"/>
      <c r="J31" s="29"/>
      <c r="K31" s="29"/>
      <c r="L31" s="29"/>
      <c r="M31" s="29"/>
      <c r="N31" s="29"/>
    </row>
    <row r="32" spans="1:14" s="19" customFormat="1" ht="12.75" x14ac:dyDescent="0.2">
      <c r="A32" s="19" t="s">
        <v>26</v>
      </c>
      <c r="D32" s="239">
        <v>1320</v>
      </c>
      <c r="E32" s="106">
        <v>0</v>
      </c>
      <c r="F32" s="106">
        <v>0</v>
      </c>
      <c r="G32" s="106"/>
      <c r="H32" s="29"/>
      <c r="I32" s="29"/>
      <c r="J32" s="29"/>
      <c r="K32" s="29"/>
      <c r="L32" s="41"/>
      <c r="M32" s="29"/>
      <c r="N32" s="41"/>
    </row>
    <row r="33" spans="1:14" s="19" customFormat="1" ht="12.75" x14ac:dyDescent="0.2">
      <c r="A33" s="357" t="s">
        <v>212</v>
      </c>
      <c r="D33" s="239">
        <v>1340</v>
      </c>
      <c r="E33" s="106">
        <v>20729</v>
      </c>
      <c r="F33" s="106">
        <v>86449</v>
      </c>
      <c r="G33" s="106">
        <v>86449</v>
      </c>
      <c r="H33" s="29"/>
      <c r="I33" s="29"/>
      <c r="J33" s="29"/>
      <c r="K33" s="29"/>
      <c r="L33" s="29"/>
      <c r="M33" s="29"/>
      <c r="N33" s="29"/>
    </row>
    <row r="34" spans="1:14" s="19" customFormat="1" ht="12.75" x14ac:dyDescent="0.2">
      <c r="A34" s="357" t="s">
        <v>217</v>
      </c>
      <c r="D34" s="239">
        <v>1350</v>
      </c>
      <c r="E34" s="106">
        <v>33333</v>
      </c>
      <c r="F34" s="106">
        <v>33333</v>
      </c>
      <c r="G34" s="106">
        <v>33333</v>
      </c>
      <c r="H34" s="29"/>
      <c r="I34" s="29"/>
      <c r="J34" s="29"/>
      <c r="K34" s="29"/>
      <c r="L34" s="29"/>
      <c r="M34" s="29"/>
      <c r="N34" s="29"/>
    </row>
    <row r="35" spans="1:14" s="19" customFormat="1" ht="12.75" x14ac:dyDescent="0.2">
      <c r="A35" s="19" t="s">
        <v>27</v>
      </c>
      <c r="D35" s="239">
        <v>1360</v>
      </c>
      <c r="E35" s="106">
        <v>995</v>
      </c>
      <c r="F35" s="106">
        <v>995</v>
      </c>
      <c r="G35" s="106">
        <v>995</v>
      </c>
      <c r="H35" s="29"/>
      <c r="I35" s="29"/>
      <c r="J35" s="29"/>
      <c r="K35" s="29"/>
      <c r="L35" s="29"/>
      <c r="M35" s="29"/>
      <c r="N35" s="29"/>
    </row>
    <row r="36" spans="1:14" s="19" customFormat="1" ht="12.75" x14ac:dyDescent="0.2">
      <c r="A36" s="19" t="s">
        <v>28</v>
      </c>
      <c r="D36" s="239">
        <v>1370</v>
      </c>
      <c r="E36" s="106">
        <v>2135851</v>
      </c>
      <c r="F36" s="106">
        <v>1758689</v>
      </c>
      <c r="G36" s="106">
        <v>1204680</v>
      </c>
      <c r="H36" s="29"/>
      <c r="I36" s="41"/>
      <c r="J36" s="41"/>
      <c r="K36" s="41"/>
      <c r="L36" s="41"/>
      <c r="M36" s="41"/>
      <c r="N36" s="41"/>
    </row>
    <row r="37" spans="1:14" s="19" customFormat="1" ht="12.75" x14ac:dyDescent="0.2">
      <c r="A37" s="25" t="s">
        <v>32</v>
      </c>
      <c r="B37" s="25"/>
      <c r="C37" s="25"/>
      <c r="D37" s="240">
        <v>1400</v>
      </c>
      <c r="E37" s="27">
        <f>SUM(E38:E42)</f>
        <v>4010</v>
      </c>
      <c r="F37" s="27">
        <f>SUM(F38:F42)</f>
        <v>7556</v>
      </c>
      <c r="G37" s="27">
        <f>SUM(G38:G42)</f>
        <v>7277</v>
      </c>
      <c r="H37" s="28"/>
      <c r="I37" s="28"/>
      <c r="J37" s="28"/>
      <c r="K37" s="28"/>
      <c r="L37" s="28"/>
      <c r="M37" s="28"/>
      <c r="N37" s="28"/>
    </row>
    <row r="38" spans="1:14" s="19" customFormat="1" ht="12.75" x14ac:dyDescent="0.2">
      <c r="A38" s="18" t="s">
        <v>30</v>
      </c>
      <c r="B38" s="32"/>
      <c r="C38" s="32"/>
      <c r="D38" s="237">
        <v>1410</v>
      </c>
      <c r="E38" s="106"/>
      <c r="F38" s="106">
        <v>0</v>
      </c>
      <c r="G38" s="106">
        <v>0</v>
      </c>
      <c r="H38" s="29"/>
      <c r="I38" s="29"/>
      <c r="J38" s="29"/>
      <c r="K38" s="29"/>
      <c r="L38" s="29"/>
      <c r="M38" s="29"/>
      <c r="N38" s="29"/>
    </row>
    <row r="39" spans="1:14" s="18" customFormat="1" ht="12.75" x14ac:dyDescent="0.2">
      <c r="A39" s="18" t="s">
        <v>31</v>
      </c>
      <c r="B39" s="32"/>
      <c r="C39" s="32"/>
      <c r="D39" s="237">
        <v>1420</v>
      </c>
      <c r="E39" s="106">
        <v>4010</v>
      </c>
      <c r="F39" s="106">
        <v>7556</v>
      </c>
      <c r="G39" s="106">
        <v>7277</v>
      </c>
      <c r="H39" s="29"/>
      <c r="I39" s="29"/>
      <c r="J39" s="29"/>
      <c r="K39" s="29"/>
      <c r="L39" s="29"/>
      <c r="M39" s="29"/>
      <c r="N39" s="29"/>
    </row>
    <row r="40" spans="1:14" s="18" customFormat="1" ht="12.75" x14ac:dyDescent="0.2">
      <c r="A40" s="18" t="s">
        <v>1</v>
      </c>
      <c r="D40" s="237">
        <v>1430</v>
      </c>
      <c r="E40" s="106">
        <v>0</v>
      </c>
      <c r="F40" s="106">
        <v>0</v>
      </c>
      <c r="G40" s="106">
        <v>0</v>
      </c>
      <c r="H40" s="29"/>
      <c r="I40" s="29"/>
      <c r="J40" s="29"/>
      <c r="K40" s="29"/>
      <c r="L40" s="29"/>
      <c r="M40" s="29"/>
      <c r="N40" s="29"/>
    </row>
    <row r="41" spans="1:14" s="18" customFormat="1" ht="12.75" x14ac:dyDescent="0.2">
      <c r="A41" s="18" t="s">
        <v>213</v>
      </c>
      <c r="D41" s="237">
        <v>1440</v>
      </c>
      <c r="E41" s="106"/>
      <c r="F41" s="106"/>
      <c r="G41" s="106"/>
      <c r="H41" s="29"/>
      <c r="I41" s="29"/>
      <c r="J41" s="29"/>
      <c r="K41" s="29"/>
      <c r="L41" s="29"/>
      <c r="M41" s="29"/>
      <c r="N41" s="29"/>
    </row>
    <row r="42" spans="1:14" s="18" customFormat="1" ht="13.5" customHeight="1" x14ac:dyDescent="0.2">
      <c r="A42" s="355" t="s">
        <v>337</v>
      </c>
      <c r="D42" s="237">
        <v>1450</v>
      </c>
      <c r="E42" s="106">
        <v>0</v>
      </c>
      <c r="F42" s="106">
        <v>0</v>
      </c>
      <c r="G42" s="106">
        <v>0</v>
      </c>
      <c r="H42" s="29"/>
      <c r="I42" s="29"/>
      <c r="J42" s="29"/>
      <c r="K42" s="29"/>
      <c r="L42" s="29"/>
      <c r="M42" s="29"/>
      <c r="N42" s="29"/>
    </row>
    <row r="43" spans="1:14" s="18" customFormat="1" ht="13.5" customHeight="1" x14ac:dyDescent="0.2">
      <c r="A43" s="355" t="s">
        <v>218</v>
      </c>
      <c r="D43" s="237">
        <v>1460</v>
      </c>
      <c r="E43" s="106">
        <v>0</v>
      </c>
      <c r="F43" s="106">
        <v>0</v>
      </c>
      <c r="G43" s="106">
        <v>0</v>
      </c>
      <c r="H43" s="29"/>
      <c r="I43" s="29"/>
      <c r="J43" s="29"/>
      <c r="K43" s="29"/>
      <c r="L43" s="29"/>
      <c r="M43" s="29"/>
      <c r="N43" s="29"/>
    </row>
    <row r="44" spans="1:14" s="19" customFormat="1" ht="12.75" x14ac:dyDescent="0.2">
      <c r="A44" s="25" t="s">
        <v>33</v>
      </c>
      <c r="B44" s="25"/>
      <c r="C44" s="25"/>
      <c r="D44" s="240">
        <v>1500</v>
      </c>
      <c r="E44" s="27">
        <f>SUM(E45:E46,E47:E49)</f>
        <v>920655</v>
      </c>
      <c r="F44" s="27">
        <f>SUM(F45:F46,F47:F49)</f>
        <v>913174</v>
      </c>
      <c r="G44" s="27">
        <f>SUM(G45:G46,G47:G49)</f>
        <v>590738</v>
      </c>
      <c r="H44" s="28"/>
      <c r="I44" s="28"/>
      <c r="J44" s="28"/>
      <c r="K44" s="28"/>
      <c r="L44" s="28"/>
      <c r="M44" s="28"/>
      <c r="N44" s="28"/>
    </row>
    <row r="45" spans="1:14" s="18" customFormat="1" ht="12.75" x14ac:dyDescent="0.2">
      <c r="A45" s="18" t="s">
        <v>30</v>
      </c>
      <c r="D45" s="237">
        <v>1510</v>
      </c>
      <c r="E45" s="106">
        <v>163319</v>
      </c>
      <c r="F45" s="106">
        <v>174456</v>
      </c>
      <c r="G45" s="106">
        <v>78924</v>
      </c>
      <c r="H45" s="29"/>
      <c r="I45" s="29"/>
      <c r="J45" s="29"/>
      <c r="K45" s="29"/>
      <c r="L45" s="29"/>
      <c r="M45" s="29"/>
      <c r="N45" s="29"/>
    </row>
    <row r="46" spans="1:14" s="18" customFormat="1" ht="12.75" x14ac:dyDescent="0.2">
      <c r="A46" s="18" t="s">
        <v>5</v>
      </c>
      <c r="D46" s="237">
        <v>1520</v>
      </c>
      <c r="E46" s="106">
        <v>730781</v>
      </c>
      <c r="F46" s="106">
        <v>717927</v>
      </c>
      <c r="G46" s="106">
        <v>501764</v>
      </c>
      <c r="H46" s="29"/>
      <c r="I46" s="29"/>
      <c r="J46" s="29"/>
      <c r="K46" s="29"/>
      <c r="L46" s="29"/>
      <c r="M46" s="29"/>
      <c r="N46" s="29"/>
    </row>
    <row r="47" spans="1:14" s="18" customFormat="1" ht="12.75" x14ac:dyDescent="0.2">
      <c r="A47" s="18" t="s">
        <v>0</v>
      </c>
      <c r="D47" s="237">
        <v>1530</v>
      </c>
      <c r="E47" s="106">
        <v>646</v>
      </c>
      <c r="F47" s="106">
        <v>0</v>
      </c>
      <c r="G47" s="106">
        <v>0</v>
      </c>
      <c r="H47" s="29"/>
      <c r="I47" s="29"/>
      <c r="J47" s="29"/>
      <c r="K47" s="29"/>
      <c r="L47" s="29"/>
      <c r="M47" s="29"/>
      <c r="N47" s="29"/>
    </row>
    <row r="48" spans="1:14" s="18" customFormat="1" ht="12.75" x14ac:dyDescent="0.2">
      <c r="A48" s="18" t="s">
        <v>1</v>
      </c>
      <c r="D48" s="237">
        <v>1540</v>
      </c>
      <c r="E48" s="106">
        <v>25909</v>
      </c>
      <c r="F48" s="106">
        <v>20791</v>
      </c>
      <c r="G48" s="106">
        <v>10050</v>
      </c>
      <c r="H48" s="29"/>
      <c r="I48" s="29"/>
      <c r="J48" s="29"/>
      <c r="K48" s="29"/>
      <c r="L48" s="29"/>
      <c r="M48" s="29"/>
      <c r="N48" s="29"/>
    </row>
    <row r="49" spans="1:14" s="18" customFormat="1" ht="13.5" customHeight="1" x14ac:dyDescent="0.2">
      <c r="A49" s="355" t="s">
        <v>338</v>
      </c>
      <c r="D49" s="237">
        <v>1550</v>
      </c>
      <c r="E49" s="106">
        <v>0</v>
      </c>
      <c r="F49" s="106">
        <v>0</v>
      </c>
      <c r="G49" s="106">
        <v>0</v>
      </c>
      <c r="H49" s="29"/>
      <c r="I49" s="29"/>
      <c r="J49" s="29"/>
      <c r="K49" s="29"/>
      <c r="L49" s="29"/>
      <c r="M49" s="29"/>
      <c r="N49" s="29"/>
    </row>
    <row r="50" spans="1:14" s="18" customFormat="1" ht="13.5" customHeight="1" x14ac:dyDescent="0.2">
      <c r="A50" s="355" t="s">
        <v>218</v>
      </c>
      <c r="D50" s="237">
        <v>1560</v>
      </c>
      <c r="E50" s="106">
        <v>0</v>
      </c>
      <c r="F50" s="106">
        <v>0</v>
      </c>
      <c r="G50" s="106">
        <v>0</v>
      </c>
      <c r="H50" s="29"/>
      <c r="I50" s="29"/>
      <c r="J50" s="29"/>
      <c r="K50" s="29"/>
      <c r="L50" s="29"/>
      <c r="M50" s="29"/>
      <c r="N50" s="29"/>
    </row>
    <row r="51" spans="1:14" s="19" customFormat="1" ht="12.75" x14ac:dyDescent="0.2">
      <c r="A51" s="30" t="s">
        <v>34</v>
      </c>
      <c r="B51" s="25"/>
      <c r="C51" s="25"/>
      <c r="D51" s="240">
        <v>1700</v>
      </c>
      <c r="E51" s="27">
        <f>E30+E37+E44</f>
        <v>3135469</v>
      </c>
      <c r="F51" s="27">
        <f>F30+F37+F44</f>
        <v>2820092</v>
      </c>
      <c r="G51" s="27">
        <f>G30+G37+G44</f>
        <v>1943368</v>
      </c>
      <c r="H51" s="28"/>
      <c r="I51" s="28"/>
      <c r="J51" s="28"/>
      <c r="K51" s="28"/>
      <c r="L51" s="28"/>
      <c r="M51" s="28"/>
      <c r="N51" s="28"/>
    </row>
    <row r="52" spans="1:14" s="18" customFormat="1" ht="12.75" x14ac:dyDescent="0.2">
      <c r="A52" s="42"/>
      <c r="B52" s="32"/>
      <c r="C52" s="32"/>
      <c r="D52" s="241"/>
      <c r="E52" s="43">
        <f>E28-E51</f>
        <v>0</v>
      </c>
      <c r="F52" s="43">
        <f>F28-F51</f>
        <v>0</v>
      </c>
      <c r="G52" s="43">
        <f>G28-G51</f>
        <v>0</v>
      </c>
      <c r="H52" s="28"/>
      <c r="I52" s="28"/>
      <c r="J52" s="28"/>
      <c r="K52" s="28"/>
      <c r="L52" s="28"/>
      <c r="M52" s="28"/>
      <c r="N52" s="28"/>
    </row>
    <row r="53" spans="1:14" s="19" customFormat="1" ht="15.75" x14ac:dyDescent="0.25">
      <c r="A53" s="21" t="s">
        <v>96</v>
      </c>
      <c r="D53" s="239"/>
      <c r="E53" s="44"/>
      <c r="F53" s="45"/>
      <c r="G53" s="45"/>
      <c r="H53" s="28"/>
      <c r="I53" s="28"/>
      <c r="J53" s="28"/>
      <c r="K53" s="28"/>
      <c r="L53" s="28"/>
      <c r="M53" s="28"/>
      <c r="N53" s="28"/>
    </row>
    <row r="54" spans="1:14" s="19" customFormat="1" ht="12.75" x14ac:dyDescent="0.2">
      <c r="D54" s="239" t="s">
        <v>11</v>
      </c>
      <c r="E54" s="17">
        <f>E5</f>
        <v>46022</v>
      </c>
      <c r="F54" s="17">
        <f>F5</f>
        <v>45657</v>
      </c>
      <c r="G54" s="17">
        <f>G5</f>
        <v>45291</v>
      </c>
      <c r="H54" s="28"/>
      <c r="I54" s="28"/>
      <c r="J54" s="28"/>
      <c r="K54" s="28"/>
      <c r="L54" s="28"/>
      <c r="M54" s="28"/>
      <c r="N54" s="28"/>
    </row>
    <row r="55" spans="1:14" s="19" customFormat="1" ht="12.75" x14ac:dyDescent="0.2">
      <c r="A55" s="19" t="s">
        <v>233</v>
      </c>
      <c r="D55" s="239">
        <v>2110</v>
      </c>
      <c r="E55" s="106">
        <v>4319882</v>
      </c>
      <c r="F55" s="106">
        <v>4723937</v>
      </c>
      <c r="G55" s="106">
        <v>4059031</v>
      </c>
      <c r="H55" s="28"/>
      <c r="I55" s="28"/>
      <c r="J55" s="28"/>
      <c r="K55" s="28"/>
      <c r="L55" s="28"/>
      <c r="M55" s="28"/>
      <c r="N55" s="28"/>
    </row>
    <row r="56" spans="1:14" s="19" customFormat="1" ht="12.75" x14ac:dyDescent="0.2">
      <c r="A56" s="19" t="s">
        <v>232</v>
      </c>
      <c r="D56" s="239">
        <v>2120</v>
      </c>
      <c r="E56" s="106">
        <v>2983084</v>
      </c>
      <c r="F56" s="106">
        <v>3117946</v>
      </c>
      <c r="G56" s="106">
        <v>2294620</v>
      </c>
      <c r="H56" s="28"/>
      <c r="I56" s="28"/>
      <c r="J56" s="28"/>
      <c r="K56" s="28"/>
      <c r="L56" s="28"/>
      <c r="M56" s="28"/>
      <c r="N56" s="28"/>
    </row>
    <row r="57" spans="1:14" s="19" customFormat="1" ht="12.75" x14ac:dyDescent="0.2">
      <c r="A57" s="19" t="s">
        <v>219</v>
      </c>
      <c r="D57" s="239">
        <v>2100</v>
      </c>
      <c r="E57" s="106">
        <v>1336798</v>
      </c>
      <c r="F57" s="106">
        <v>1605991</v>
      </c>
      <c r="G57" s="106">
        <v>1764411</v>
      </c>
      <c r="H57" s="28"/>
      <c r="I57" s="28"/>
      <c r="J57" s="28"/>
      <c r="K57" s="28"/>
      <c r="L57" s="28"/>
      <c r="M57" s="28"/>
      <c r="N57" s="28"/>
    </row>
    <row r="58" spans="1:14" s="19" customFormat="1" ht="12.75" x14ac:dyDescent="0.2">
      <c r="A58" s="19" t="s">
        <v>223</v>
      </c>
      <c r="D58" s="239">
        <v>2210</v>
      </c>
      <c r="E58" s="106">
        <v>137960</v>
      </c>
      <c r="F58" s="106">
        <v>49963</v>
      </c>
      <c r="G58" s="106">
        <v>54805</v>
      </c>
      <c r="H58" s="28"/>
      <c r="I58" s="28"/>
      <c r="J58" s="28"/>
      <c r="K58" s="28"/>
      <c r="L58" s="28"/>
      <c r="M58" s="28"/>
      <c r="N58" s="28"/>
    </row>
    <row r="59" spans="1:14" s="19" customFormat="1" ht="12.75" x14ac:dyDescent="0.2">
      <c r="A59" s="19" t="s">
        <v>224</v>
      </c>
      <c r="D59" s="239">
        <v>2220</v>
      </c>
      <c r="E59" s="106">
        <v>780092</v>
      </c>
      <c r="F59" s="106">
        <v>548045</v>
      </c>
      <c r="G59" s="106">
        <v>657575</v>
      </c>
      <c r="H59" s="28"/>
      <c r="I59" s="28"/>
      <c r="J59" s="28"/>
      <c r="K59" s="28"/>
      <c r="L59" s="28"/>
      <c r="M59" s="28"/>
      <c r="N59" s="28"/>
    </row>
    <row r="60" spans="1:14" s="19" customFormat="1" ht="12.75" x14ac:dyDescent="0.2">
      <c r="A60" s="19" t="s">
        <v>220</v>
      </c>
      <c r="D60" s="239">
        <v>2200</v>
      </c>
      <c r="E60" s="106">
        <v>418746</v>
      </c>
      <c r="F60" s="106">
        <v>1007983</v>
      </c>
      <c r="G60" s="106">
        <v>1052031</v>
      </c>
      <c r="H60" s="28"/>
      <c r="I60" s="28"/>
      <c r="J60" s="28"/>
      <c r="K60" s="28"/>
      <c r="L60" s="28"/>
      <c r="M60" s="28"/>
      <c r="N60" s="28"/>
    </row>
    <row r="61" spans="1:14" s="19" customFormat="1" ht="12.75" x14ac:dyDescent="0.2">
      <c r="A61" s="19" t="s">
        <v>225</v>
      </c>
      <c r="D61" s="239">
        <v>2310</v>
      </c>
      <c r="E61" s="106">
        <v>91</v>
      </c>
      <c r="F61" s="106">
        <v>87</v>
      </c>
      <c r="G61" s="106">
        <v>65</v>
      </c>
      <c r="H61" s="28"/>
      <c r="I61" s="28"/>
      <c r="J61" s="28"/>
      <c r="K61" s="28"/>
      <c r="L61" s="28"/>
      <c r="M61" s="28"/>
      <c r="N61" s="28"/>
    </row>
    <row r="62" spans="1:14" s="19" customFormat="1" ht="12.75" x14ac:dyDescent="0.2">
      <c r="A62" s="19" t="s">
        <v>226</v>
      </c>
      <c r="D62" s="239">
        <v>2320</v>
      </c>
      <c r="E62" s="106">
        <v>32285</v>
      </c>
      <c r="F62" s="106">
        <v>28328</v>
      </c>
      <c r="G62" s="106">
        <v>23391</v>
      </c>
      <c r="H62" s="28"/>
      <c r="I62" s="28"/>
      <c r="J62" s="28"/>
      <c r="K62" s="28"/>
      <c r="L62" s="28"/>
      <c r="M62" s="28"/>
      <c r="N62" s="28"/>
    </row>
    <row r="63" spans="1:14" s="19" customFormat="1" ht="12.75" x14ac:dyDescent="0.2">
      <c r="A63" s="19" t="s">
        <v>227</v>
      </c>
      <c r="D63" s="239">
        <v>2330</v>
      </c>
      <c r="E63" s="106">
        <v>28629</v>
      </c>
      <c r="F63" s="106">
        <v>31639</v>
      </c>
      <c r="G63" s="106">
        <v>7252</v>
      </c>
      <c r="H63" s="28"/>
      <c r="I63" s="28"/>
      <c r="J63" s="28"/>
      <c r="K63" s="28"/>
      <c r="L63" s="28"/>
      <c r="M63" s="28"/>
      <c r="N63" s="28"/>
    </row>
    <row r="64" spans="1:14" s="19" customFormat="1" ht="12.75" x14ac:dyDescent="0.2">
      <c r="A64" s="19" t="s">
        <v>228</v>
      </c>
      <c r="D64" s="239">
        <v>2340</v>
      </c>
      <c r="E64" s="106">
        <v>179399</v>
      </c>
      <c r="F64" s="106">
        <v>759580</v>
      </c>
      <c r="G64" s="106">
        <v>296175</v>
      </c>
      <c r="H64" s="28"/>
      <c r="I64" s="28"/>
      <c r="J64" s="28"/>
      <c r="K64" s="28"/>
      <c r="L64" s="28"/>
      <c r="M64" s="28"/>
      <c r="N64" s="28"/>
    </row>
    <row r="65" spans="1:14" s="19" customFormat="1" ht="12.75" x14ac:dyDescent="0.2">
      <c r="A65" s="19" t="s">
        <v>229</v>
      </c>
      <c r="D65" s="239">
        <v>2350</v>
      </c>
      <c r="E65" s="106">
        <v>62253</v>
      </c>
      <c r="F65" s="106">
        <v>689203</v>
      </c>
      <c r="G65" s="106">
        <v>467927</v>
      </c>
      <c r="H65" s="28"/>
      <c r="I65" s="28"/>
      <c r="J65" s="28"/>
      <c r="K65" s="28"/>
      <c r="L65" s="28"/>
      <c r="M65" s="28"/>
      <c r="N65" s="28"/>
    </row>
    <row r="66" spans="1:14" s="19" customFormat="1" ht="12.75" x14ac:dyDescent="0.2">
      <c r="A66" s="19" t="s">
        <v>327</v>
      </c>
      <c r="D66" s="239">
        <v>2300</v>
      </c>
      <c r="E66" s="106">
        <v>539639</v>
      </c>
      <c r="F66" s="106">
        <v>1075136</v>
      </c>
      <c r="G66" s="106">
        <v>896423</v>
      </c>
      <c r="H66" s="28"/>
      <c r="I66" s="28"/>
      <c r="J66" s="28"/>
      <c r="K66" s="28"/>
      <c r="L66" s="28"/>
      <c r="M66" s="28"/>
      <c r="N66" s="28"/>
    </row>
    <row r="67" spans="1:14" s="19" customFormat="1" ht="12.75" x14ac:dyDescent="0.2">
      <c r="A67" s="19" t="s">
        <v>221</v>
      </c>
      <c r="D67" s="239">
        <v>2410</v>
      </c>
      <c r="E67" s="106">
        <v>128102</v>
      </c>
      <c r="F67" s="106">
        <v>220940</v>
      </c>
      <c r="G67" s="106">
        <v>185572</v>
      </c>
      <c r="H67" s="28"/>
      <c r="I67" s="28"/>
      <c r="J67" s="28"/>
      <c r="K67" s="28"/>
      <c r="L67" s="28"/>
      <c r="M67" s="28"/>
      <c r="N67" s="28"/>
    </row>
    <row r="68" spans="1:14" s="19" customFormat="1" ht="12.75" x14ac:dyDescent="0.2">
      <c r="A68" s="359" t="s">
        <v>230</v>
      </c>
      <c r="D68" s="19">
        <v>2411</v>
      </c>
      <c r="E68" s="106">
        <v>132786</v>
      </c>
      <c r="F68" s="106">
        <v>223783</v>
      </c>
      <c r="G68" s="106">
        <v>187298</v>
      </c>
      <c r="H68" s="28"/>
      <c r="I68" s="28"/>
      <c r="J68" s="28"/>
      <c r="K68" s="28"/>
      <c r="L68" s="28"/>
      <c r="M68" s="28"/>
      <c r="N68" s="28"/>
    </row>
    <row r="69" spans="1:14" s="19" customFormat="1" ht="12.75" x14ac:dyDescent="0.2">
      <c r="A69" s="359" t="s">
        <v>231</v>
      </c>
      <c r="D69" s="19">
        <v>2412</v>
      </c>
      <c r="E69" s="106">
        <v>4683</v>
      </c>
      <c r="F69" s="106">
        <v>2843</v>
      </c>
      <c r="G69" s="106">
        <v>1727</v>
      </c>
      <c r="H69" s="28"/>
      <c r="I69" s="28"/>
      <c r="J69" s="28"/>
      <c r="K69" s="28"/>
      <c r="L69" s="28"/>
      <c r="M69" s="28"/>
      <c r="N69" s="28"/>
    </row>
    <row r="70" spans="1:14" s="19" customFormat="1" ht="12.75" x14ac:dyDescent="0.2">
      <c r="A70" s="19" t="s">
        <v>222</v>
      </c>
      <c r="D70" s="239">
        <v>2460</v>
      </c>
      <c r="E70" s="106">
        <v>0</v>
      </c>
      <c r="F70" s="106">
        <v>0</v>
      </c>
      <c r="G70" s="106">
        <v>0</v>
      </c>
      <c r="H70" s="28"/>
      <c r="I70" s="28"/>
      <c r="J70" s="28"/>
      <c r="K70" s="28"/>
      <c r="L70" s="28"/>
      <c r="M70" s="28"/>
      <c r="N70" s="28"/>
    </row>
    <row r="71" spans="1:14" s="19" customFormat="1" ht="12.75" x14ac:dyDescent="0.2">
      <c r="A71" s="19" t="s">
        <v>39</v>
      </c>
      <c r="D71" s="239">
        <v>2400</v>
      </c>
      <c r="E71" s="106">
        <v>411537</v>
      </c>
      <c r="F71" s="106">
        <v>854196</v>
      </c>
      <c r="G71" s="106">
        <v>710911</v>
      </c>
      <c r="H71" s="28"/>
      <c r="I71" s="28"/>
      <c r="J71" s="28"/>
      <c r="K71" s="28"/>
      <c r="L71" s="28"/>
      <c r="M71" s="28"/>
      <c r="N71" s="28"/>
    </row>
    <row r="72" spans="1:14" s="19" customFormat="1" ht="12.75" x14ac:dyDescent="0.2">
      <c r="A72" s="18" t="s">
        <v>40</v>
      </c>
      <c r="B72" s="18"/>
      <c r="C72" s="18"/>
      <c r="D72" s="237"/>
      <c r="E72" s="233">
        <f>E54-DATE(YEAR(E54),1,1)+1</f>
        <v>365</v>
      </c>
      <c r="F72" s="233">
        <f>F54-DATE(YEAR(F54),1,1)+1</f>
        <v>366</v>
      </c>
      <c r="G72" s="233">
        <f>G54-DATE(YEAR(G54),1,1)+1</f>
        <v>365</v>
      </c>
      <c r="H72" s="28"/>
      <c r="I72" s="28"/>
      <c r="J72" s="28"/>
      <c r="K72" s="28"/>
      <c r="L72" s="28"/>
      <c r="M72" s="28"/>
      <c r="N72" s="28"/>
    </row>
    <row r="73" spans="1:14" s="19" customFormat="1" ht="12.75" x14ac:dyDescent="0.2">
      <c r="A73" s="18"/>
      <c r="B73" s="18"/>
      <c r="C73" s="18"/>
      <c r="D73" s="237"/>
      <c r="E73" s="46"/>
      <c r="F73" s="46"/>
      <c r="G73" s="47"/>
      <c r="H73" s="28"/>
      <c r="I73" s="28"/>
      <c r="J73" s="28"/>
      <c r="K73" s="28"/>
      <c r="L73" s="28"/>
      <c r="M73" s="28"/>
      <c r="N73" s="28"/>
    </row>
    <row r="74" spans="1:14" s="19" customFormat="1" ht="15.75" x14ac:dyDescent="0.25">
      <c r="A74" s="48" t="s">
        <v>36</v>
      </c>
      <c r="B74" s="18"/>
      <c r="C74" s="18"/>
      <c r="D74" s="237"/>
      <c r="E74" s="46"/>
      <c r="F74" s="46"/>
      <c r="G74" s="47"/>
      <c r="H74" s="28"/>
      <c r="I74" s="28"/>
      <c r="J74" s="28"/>
      <c r="K74" s="28"/>
      <c r="L74" s="28"/>
      <c r="M74" s="28"/>
      <c r="N74" s="28"/>
    </row>
    <row r="75" spans="1:14" s="19" customFormat="1" ht="12.75" x14ac:dyDescent="0.2">
      <c r="A75" s="18"/>
      <c r="B75" s="18"/>
      <c r="C75" s="18"/>
      <c r="D75" s="239" t="s">
        <v>11</v>
      </c>
      <c r="E75" s="49">
        <f>E5</f>
        <v>46022</v>
      </c>
      <c r="F75" s="49">
        <f>F5</f>
        <v>45657</v>
      </c>
      <c r="G75" s="49">
        <f>G5</f>
        <v>45291</v>
      </c>
      <c r="H75" s="28"/>
      <c r="I75" s="28"/>
      <c r="J75" s="28"/>
      <c r="K75" s="28"/>
      <c r="L75" s="28"/>
      <c r="M75" s="28"/>
      <c r="N75" s="28"/>
    </row>
    <row r="76" spans="1:14" s="19" customFormat="1" ht="12.75" x14ac:dyDescent="0.2">
      <c r="A76" s="50" t="s">
        <v>35</v>
      </c>
      <c r="B76" s="50"/>
      <c r="C76" s="50"/>
      <c r="D76" s="242">
        <v>3600</v>
      </c>
      <c r="E76" s="106">
        <f>(E7+E19-E24)-(E37+E44-E47)</f>
        <v>2211450</v>
      </c>
      <c r="F76" s="106">
        <f>(F7+F19-F24)-(F37+F44-F47)</f>
        <v>1899362</v>
      </c>
      <c r="G76" s="106">
        <f>(G7+G19-G24)-(G37+G44-G47)</f>
        <v>1345353</v>
      </c>
      <c r="H76" s="28"/>
      <c r="I76" s="28"/>
      <c r="J76" s="28"/>
      <c r="K76" s="28"/>
      <c r="L76" s="28"/>
      <c r="M76" s="28"/>
      <c r="N76" s="28"/>
    </row>
    <row r="79" spans="1:14" x14ac:dyDescent="0.2">
      <c r="A79" s="18" t="s">
        <v>234</v>
      </c>
      <c r="B79" s="253"/>
      <c r="C79" s="253"/>
      <c r="D79" s="254"/>
      <c r="E79" s="255">
        <f>IFERROR((E19)/(E44-E48-E47),"")</f>
        <v>3.2836953360921597</v>
      </c>
      <c r="F79" s="255">
        <f>IFERROR((F19)/(F44-F48-F47),"")</f>
        <v>2.982127629056134</v>
      </c>
      <c r="G79" s="255">
        <f>IFERROR((G19)/(G44-G48-G47),"")</f>
        <v>3.1109339266525224</v>
      </c>
    </row>
    <row r="80" spans="1:14" x14ac:dyDescent="0.2">
      <c r="A80" s="18" t="s">
        <v>4</v>
      </c>
      <c r="B80" s="253"/>
      <c r="C80" s="253"/>
      <c r="D80" s="254"/>
      <c r="E80" s="255">
        <f>IFERROR((E23+E26)/(E44-E47-E48),"")</f>
        <v>1.7494150542444917</v>
      </c>
      <c r="F80" s="255">
        <f>IFERROR((F23+F26)/(F44-F47-F48),"")</f>
        <v>1.7555589920471366</v>
      </c>
      <c r="G80" s="255">
        <f>IFERROR((G23+G26)/(G44-G47-G48),"")</f>
        <v>1.3393491857934037</v>
      </c>
    </row>
    <row r="81" spans="1:7" x14ac:dyDescent="0.2">
      <c r="A81" s="18" t="s">
        <v>343</v>
      </c>
      <c r="B81" s="253"/>
      <c r="C81" s="253"/>
      <c r="D81" s="254"/>
      <c r="E81" s="262">
        <f>IFERROR((E20+E23-E46)/(E55/E72),"")</f>
        <v>166.83718559905108</v>
      </c>
      <c r="F81" s="262">
        <f>IFERROR((F20+F23-F46)/(F55/F72),"")</f>
        <v>140.56013024729162</v>
      </c>
      <c r="G81" s="262">
        <f>IFERROR((G20+G23-G46)/(G55/G72),"")</f>
        <v>104.59377743111595</v>
      </c>
    </row>
    <row r="82" spans="1:7" x14ac:dyDescent="0.2">
      <c r="A82" s="18" t="s">
        <v>252</v>
      </c>
      <c r="B82" s="253"/>
      <c r="C82" s="253"/>
      <c r="D82" s="254"/>
      <c r="E82" s="255">
        <f>IFERROR((E30)/E51,"")</f>
        <v>0.70509515482372809</v>
      </c>
      <c r="F82" s="255">
        <f>IFERROR((F30)/F51,"")</f>
        <v>0.67351065142555633</v>
      </c>
      <c r="G82" s="255">
        <f>IFERROR((G30)/G51,"")</f>
        <v>0.6922790742669428</v>
      </c>
    </row>
    <row r="83" spans="1:7" x14ac:dyDescent="0.2">
      <c r="A83" s="18" t="s">
        <v>41</v>
      </c>
      <c r="B83" s="253"/>
      <c r="C83" s="253"/>
      <c r="D83" s="254"/>
      <c r="E83" s="255">
        <f>IFERROR((E60/E55)*100,"")</f>
        <v>9.6934592194879396</v>
      </c>
      <c r="F83" s="255">
        <f>IFERROR((F60/F55)*100,"")</f>
        <v>21.337773979627585</v>
      </c>
      <c r="G83" s="255">
        <f>IFERROR((G60/G55)*100,"")</f>
        <v>25.918279510553134</v>
      </c>
    </row>
    <row r="84" spans="1:7" x14ac:dyDescent="0.2">
      <c r="A84" s="18" t="s">
        <v>235</v>
      </c>
      <c r="B84" s="253"/>
      <c r="C84" s="253"/>
      <c r="D84" s="254"/>
      <c r="E84" s="255">
        <f>IFERROR((E38+E45)/((E66+E63-E62)/E72*365),"")</f>
        <v>0.30470929115289103</v>
      </c>
      <c r="F84" s="255">
        <f>IFERROR((F38+F45)/((F66+F63-F62)/F72*365),"")</f>
        <v>0.16220914114818402</v>
      </c>
      <c r="G84" s="255">
        <f>IFERROR((G38+G45)/((G66+G63-G62)/G72*365),"")</f>
        <v>8.9657428738906975E-2</v>
      </c>
    </row>
    <row r="85" spans="1:7" x14ac:dyDescent="0.2">
      <c r="A85" s="253" t="s">
        <v>236</v>
      </c>
      <c r="B85" s="253"/>
      <c r="C85" s="253"/>
      <c r="D85" s="254"/>
      <c r="E85" s="264">
        <f>IFERROR((E66+E63-E62)/(E63),"")</f>
        <v>18.72168081316148</v>
      </c>
      <c r="F85" s="264">
        <f>IFERROR((F66+F63-F62)/(F63),"")</f>
        <v>34.086001453901829</v>
      </c>
      <c r="G85" s="264">
        <f>IFERROR((G66+G63-G62)/(G63),"")</f>
        <v>121.3849972421401</v>
      </c>
    </row>
    <row r="86" spans="1:7" x14ac:dyDescent="0.2">
      <c r="A86" s="253" t="s">
        <v>253</v>
      </c>
      <c r="B86" s="253"/>
      <c r="C86" s="253"/>
      <c r="D86" s="254"/>
      <c r="E86" s="263">
        <f>IFERROR((E30-E32+E47-E7)/(E19),"")</f>
        <v>0.68527448677635061</v>
      </c>
      <c r="F86" s="263">
        <f>IFERROR((F30-F32+F47-F7)/(F19),"")</f>
        <v>0.65401698481887871</v>
      </c>
      <c r="G86" s="263">
        <f>IFERROR((G30-G32+G47-G7)/(G19),"")</f>
        <v>0.66896155068248675</v>
      </c>
    </row>
    <row r="87" spans="1:7" x14ac:dyDescent="0.2">
      <c r="A87" s="253" t="s">
        <v>254</v>
      </c>
      <c r="B87" s="253"/>
      <c r="C87" s="253"/>
      <c r="D87" s="254"/>
      <c r="E87" s="265">
        <f>IFERROR(((E66+E63-E62)/E72*365)/((E30+E37+F30+F37)/2)*100,"")</f>
        <v>26.007658916203187</v>
      </c>
      <c r="F87" s="265">
        <f>IFERROR(((F66+F63-F62)/F72*365)/((F30+F37+G30+G37)/2)*100,"")</f>
        <v>65.990770714054079</v>
      </c>
      <c r="G87" s="265">
        <f>IFERROR(((G66+G63-G62)/G72*365)/((G30+G37+H30+H37)/2)*100,"")</f>
        <v>130.15887567183933</v>
      </c>
    </row>
    <row r="88" spans="1:7" x14ac:dyDescent="0.2">
      <c r="A88" s="253" t="s">
        <v>237</v>
      </c>
      <c r="B88" s="253"/>
      <c r="C88" s="253"/>
      <c r="D88" s="254"/>
      <c r="E88" s="266" t="str">
        <f>IFERROR(IF((IFERROR((E19)/(E44-E48-E47),"")/IFERROR((F19)/(F44-F48-F47),"")-1)&gt;0.1,"Рост",IF((IFERROR((E19)/(E44-E48-E47),"")/IFERROR((F19)/(F44-F48-F47),"")-1)&lt;-0.1,"Снижение","На прежнем уровне")),"Нет данных")</f>
        <v>Рост</v>
      </c>
      <c r="F88" s="266" t="str">
        <f>IFERROR(IF((IFERROR((F19)/(F44-F48-F47),"")/IFERROR((G19)/(G44-G48-G47),"")-1)&gt;0.1,"Рост",IF((IFERROR((F19)/(F44-F48-F47),"")/IFERROR((G19)/(G44-G48-G47),"")-1)&lt;-0.1,"Снижение","На прежнем уровне")),"Нет данных")</f>
        <v>На прежнем уровне</v>
      </c>
      <c r="G88" s="266" t="str">
        <f>IFERROR(IF((IFERROR((G19)/(G44-G48-G47),"")/IFERROR((H19)/(H44-H48-H47),"")-1)&gt;0.1,"Рост",IF((IFERROR((G19)/(G44-G48-G47),"")/IFERROR((H19)/(H44-H48-H47),"")-1)&lt;-0.1,"Снижение","На прежнем уровне")),"Нет данных")</f>
        <v>Нет данных</v>
      </c>
    </row>
    <row r="89" spans="1:7" x14ac:dyDescent="0.2">
      <c r="A89" s="253" t="s">
        <v>238</v>
      </c>
      <c r="B89" s="253"/>
      <c r="C89" s="253"/>
      <c r="D89" s="254"/>
      <c r="E89" s="267" t="str">
        <f>IFERROR(IF((IFERROR(((E60/E55)*100),"")/IFERROR(((F60/F55)*100),"")-1)&gt;0.1,"Рост",IF((IFERROR(((E60/E55)*100),"")/IFERROR((F60/F55)*100,"")-1)&lt;-0.1,"Снижение","На прежнем уровне")),"Нет данных")</f>
        <v>Снижение</v>
      </c>
      <c r="F89" s="267" t="str">
        <f>IFERROR(IF((IFERROR(((F60/F55)*100),"")/IFERROR(((G60/G55)*100),"")-1)&gt;0.1,"Рост",IF((IFERROR(((F60/F55)*100),"")/IFERROR((G60/G55)*100,"")-1)&lt;-0.1,"Снижение","На прежнем уровне")),"Нет данных")</f>
        <v>Снижение</v>
      </c>
      <c r="G89" s="267" t="str">
        <f>IFERROR(IF((IFERROR(((G60/G55)*100),"")/IFERROR(((H60/H55)*100),"")-1)&gt;0.1,"Рост",IF((IFERROR(((G60/G55)*100),"")/IFERROR((H60/H55)*100,"")-1)&lt;-0.1,"Снижение","На прежнем уровне")),"Нет данных")</f>
        <v>Нет данных</v>
      </c>
    </row>
  </sheetData>
  <mergeCells count="1">
    <mergeCell ref="E4:F4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  <headerFooter>
    <oddHeader>&amp;CШ-13.08.01-01 Оценка кредитоспособности контрагента-покупателя нефти, газа и нефтепродуктов</oddHeader>
    <oddFooter>&amp;CШ-13.08.01-01 версия 2.0 Оценка кредитоспособности контрагента-покупателя нефти, газа и нефтепродуктов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2:AU126"/>
  <sheetViews>
    <sheetView zoomScale="55" zoomScaleNormal="55" workbookViewId="0">
      <selection activeCell="E98" sqref="E98"/>
    </sheetView>
  </sheetViews>
  <sheetFormatPr defaultRowHeight="15" x14ac:dyDescent="0.25"/>
  <cols>
    <col min="1" max="1" width="27" customWidth="1"/>
    <col min="2" max="2" width="21" customWidth="1"/>
    <col min="3" max="5" width="15.28515625" customWidth="1"/>
    <col min="6" max="7" width="11.5703125" customWidth="1"/>
    <col min="8" max="10" width="15.28515625" customWidth="1"/>
    <col min="11" max="12" width="14.5703125" customWidth="1"/>
    <col min="13" max="15" width="15.28515625" customWidth="1"/>
    <col min="16" max="16" width="14.5703125" customWidth="1"/>
    <col min="17" max="17" width="17.42578125" customWidth="1"/>
    <col min="18" max="20" width="15.28515625" customWidth="1"/>
    <col min="21" max="22" width="17.42578125" customWidth="1"/>
    <col min="23" max="46" width="14.5703125" customWidth="1"/>
  </cols>
  <sheetData>
    <row r="2" spans="1:33" ht="60" x14ac:dyDescent="0.25">
      <c r="A2" s="139" t="s">
        <v>137</v>
      </c>
      <c r="C2" s="140" t="s">
        <v>130</v>
      </c>
      <c r="E2" s="140" t="s">
        <v>131</v>
      </c>
      <c r="G2" s="139" t="s">
        <v>154</v>
      </c>
      <c r="I2" s="139" t="s">
        <v>155</v>
      </c>
      <c r="K2" s="139" t="s">
        <v>82</v>
      </c>
      <c r="M2" s="139" t="s">
        <v>87</v>
      </c>
      <c r="O2" s="139" t="s">
        <v>196</v>
      </c>
      <c r="Q2" s="281" t="s">
        <v>264</v>
      </c>
      <c r="R2" s="281" t="s">
        <v>268</v>
      </c>
      <c r="S2" s="281" t="s">
        <v>265</v>
      </c>
      <c r="T2" s="283" t="s">
        <v>268</v>
      </c>
      <c r="U2" s="285"/>
      <c r="V2" s="285"/>
      <c r="X2" s="279" t="s">
        <v>294</v>
      </c>
      <c r="Y2" t="s">
        <v>296</v>
      </c>
      <c r="Z2" t="s">
        <v>295</v>
      </c>
      <c r="AD2" t="s">
        <v>297</v>
      </c>
      <c r="AG2" t="s">
        <v>328</v>
      </c>
    </row>
    <row r="3" spans="1:33" x14ac:dyDescent="0.25">
      <c r="A3" s="138" t="s">
        <v>138</v>
      </c>
      <c r="C3" s="137" t="s">
        <v>129</v>
      </c>
      <c r="E3" s="137" t="s">
        <v>133</v>
      </c>
      <c r="G3" s="137" t="s">
        <v>151</v>
      </c>
      <c r="I3" s="137" t="s">
        <v>90</v>
      </c>
      <c r="K3" s="137" t="s">
        <v>83</v>
      </c>
      <c r="M3" s="137" t="s">
        <v>88</v>
      </c>
      <c r="O3" s="137" t="s">
        <v>167</v>
      </c>
      <c r="Q3" s="282" t="s">
        <v>270</v>
      </c>
      <c r="R3" s="282">
        <v>0</v>
      </c>
      <c r="S3" s="282" t="s">
        <v>266</v>
      </c>
      <c r="T3" s="284">
        <v>50</v>
      </c>
      <c r="U3" s="286"/>
      <c r="V3" s="286"/>
      <c r="X3" t="s">
        <v>272</v>
      </c>
      <c r="Y3">
        <v>10</v>
      </c>
      <c r="Z3">
        <v>10</v>
      </c>
      <c r="AD3" t="s">
        <v>298</v>
      </c>
      <c r="AE3">
        <v>3</v>
      </c>
      <c r="AG3" t="s">
        <v>330</v>
      </c>
    </row>
    <row r="4" spans="1:33" x14ac:dyDescent="0.25">
      <c r="A4" s="138" t="s">
        <v>139</v>
      </c>
      <c r="C4" s="137" t="s">
        <v>128</v>
      </c>
      <c r="E4" s="137" t="s">
        <v>132</v>
      </c>
      <c r="G4" s="137" t="s">
        <v>152</v>
      </c>
      <c r="I4" s="137" t="s">
        <v>156</v>
      </c>
      <c r="K4" s="137" t="s">
        <v>84</v>
      </c>
      <c r="M4" s="137" t="s">
        <v>201</v>
      </c>
      <c r="O4" s="137" t="s">
        <v>168</v>
      </c>
      <c r="Q4" s="282" t="s">
        <v>271</v>
      </c>
      <c r="R4" s="282">
        <v>5</v>
      </c>
      <c r="S4" s="282" t="s">
        <v>267</v>
      </c>
      <c r="T4" s="284">
        <v>70</v>
      </c>
      <c r="U4" s="286"/>
      <c r="V4" s="286"/>
      <c r="X4" t="s">
        <v>273</v>
      </c>
      <c r="Y4">
        <v>8</v>
      </c>
      <c r="Z4">
        <v>8</v>
      </c>
      <c r="AD4" t="s">
        <v>299</v>
      </c>
      <c r="AE4">
        <v>-3</v>
      </c>
      <c r="AG4" t="s">
        <v>329</v>
      </c>
    </row>
    <row r="5" spans="1:33" x14ac:dyDescent="0.25">
      <c r="A5" s="138" t="s">
        <v>140</v>
      </c>
      <c r="C5" s="137" t="s">
        <v>127</v>
      </c>
      <c r="E5" s="137" t="s">
        <v>100</v>
      </c>
      <c r="G5" s="137" t="s">
        <v>153</v>
      </c>
      <c r="I5" s="137" t="s">
        <v>157</v>
      </c>
      <c r="K5" s="137" t="s">
        <v>85</v>
      </c>
      <c r="M5" s="137" t="s">
        <v>200</v>
      </c>
      <c r="O5" s="137" t="s">
        <v>169</v>
      </c>
      <c r="Q5" s="282" t="s">
        <v>306</v>
      </c>
      <c r="R5" s="282">
        <v>15</v>
      </c>
      <c r="S5" s="282" t="s">
        <v>270</v>
      </c>
      <c r="T5" s="284">
        <v>0</v>
      </c>
      <c r="U5" s="286"/>
      <c r="V5" s="286"/>
      <c r="X5" t="s">
        <v>274</v>
      </c>
      <c r="Y5">
        <v>8</v>
      </c>
      <c r="Z5">
        <v>8</v>
      </c>
      <c r="AD5" t="s">
        <v>300</v>
      </c>
      <c r="AE5">
        <v>0</v>
      </c>
      <c r="AG5" t="s">
        <v>100</v>
      </c>
    </row>
    <row r="6" spans="1:33" ht="25.5" customHeight="1" x14ac:dyDescent="0.25">
      <c r="A6" s="138" t="s">
        <v>141</v>
      </c>
      <c r="C6" s="137" t="s">
        <v>100</v>
      </c>
      <c r="I6" s="137" t="s">
        <v>158</v>
      </c>
      <c r="K6" s="137" t="s">
        <v>86</v>
      </c>
      <c r="M6" s="137" t="s">
        <v>91</v>
      </c>
      <c r="O6" s="137" t="s">
        <v>170</v>
      </c>
      <c r="Q6" s="282" t="s">
        <v>307</v>
      </c>
      <c r="R6" s="282">
        <v>30</v>
      </c>
      <c r="S6" s="282"/>
      <c r="T6" s="284"/>
      <c r="U6" s="286"/>
      <c r="V6" s="286"/>
      <c r="X6" t="s">
        <v>275</v>
      </c>
      <c r="Y6">
        <v>8</v>
      </c>
      <c r="Z6">
        <v>8</v>
      </c>
      <c r="AD6" t="s">
        <v>302</v>
      </c>
      <c r="AE6">
        <v>0</v>
      </c>
    </row>
    <row r="7" spans="1:33" x14ac:dyDescent="0.25">
      <c r="A7" s="138" t="s">
        <v>142</v>
      </c>
      <c r="M7" s="137" t="s">
        <v>92</v>
      </c>
      <c r="O7" s="137" t="s">
        <v>171</v>
      </c>
      <c r="Q7" s="282" t="s">
        <v>308</v>
      </c>
      <c r="R7" s="282">
        <v>50</v>
      </c>
      <c r="S7" s="282"/>
      <c r="T7" s="284"/>
      <c r="U7" s="286"/>
      <c r="V7" s="286"/>
      <c r="X7" t="s">
        <v>276</v>
      </c>
      <c r="Y7">
        <v>5</v>
      </c>
      <c r="Z7">
        <v>5</v>
      </c>
    </row>
    <row r="8" spans="1:33" x14ac:dyDescent="0.25">
      <c r="A8" s="138" t="s">
        <v>143</v>
      </c>
      <c r="M8" s="137" t="s">
        <v>89</v>
      </c>
      <c r="O8" s="137" t="s">
        <v>172</v>
      </c>
      <c r="U8" s="58"/>
      <c r="V8" s="58"/>
      <c r="X8" t="s">
        <v>151</v>
      </c>
      <c r="Y8">
        <v>5</v>
      </c>
      <c r="Z8">
        <v>5</v>
      </c>
    </row>
    <row r="9" spans="1:33" x14ac:dyDescent="0.25">
      <c r="A9" s="138">
        <v>51</v>
      </c>
      <c r="M9" s="137" t="s">
        <v>100</v>
      </c>
      <c r="O9" s="137" t="s">
        <v>173</v>
      </c>
      <c r="U9" s="58"/>
      <c r="V9" s="58"/>
      <c r="X9" t="s">
        <v>277</v>
      </c>
      <c r="Y9">
        <v>5</v>
      </c>
      <c r="Z9">
        <v>5</v>
      </c>
    </row>
    <row r="10" spans="1:33" x14ac:dyDescent="0.25">
      <c r="A10" s="138">
        <v>50</v>
      </c>
      <c r="O10" s="206" t="s">
        <v>174</v>
      </c>
      <c r="X10" t="s">
        <v>278</v>
      </c>
      <c r="Y10">
        <v>3</v>
      </c>
      <c r="Z10">
        <v>3</v>
      </c>
    </row>
    <row r="11" spans="1:33" x14ac:dyDescent="0.25">
      <c r="A11" s="272"/>
      <c r="O11" s="274" t="s">
        <v>263</v>
      </c>
      <c r="X11" t="s">
        <v>279</v>
      </c>
      <c r="Y11">
        <v>3</v>
      </c>
      <c r="Z11">
        <v>3</v>
      </c>
    </row>
    <row r="12" spans="1:33" x14ac:dyDescent="0.25">
      <c r="A12" s="272"/>
      <c r="O12" s="273"/>
      <c r="X12" t="s">
        <v>280</v>
      </c>
      <c r="Y12">
        <v>3</v>
      </c>
      <c r="Z12">
        <v>3</v>
      </c>
    </row>
    <row r="13" spans="1:33" x14ac:dyDescent="0.25">
      <c r="A13" s="272"/>
      <c r="O13" s="273"/>
      <c r="X13" t="s">
        <v>281</v>
      </c>
      <c r="Y13">
        <v>0</v>
      </c>
      <c r="Z13">
        <v>0</v>
      </c>
    </row>
    <row r="14" spans="1:33" x14ac:dyDescent="0.25">
      <c r="X14" t="s">
        <v>282</v>
      </c>
      <c r="Y14">
        <v>0</v>
      </c>
      <c r="Z14">
        <v>0</v>
      </c>
    </row>
    <row r="15" spans="1:33" ht="15.75" thickBot="1" x14ac:dyDescent="0.3">
      <c r="A15" s="124" t="s">
        <v>146</v>
      </c>
      <c r="B15" s="125"/>
      <c r="C15" s="125"/>
      <c r="D15" s="126"/>
      <c r="E15" s="124" t="s">
        <v>206</v>
      </c>
      <c r="F15" s="125"/>
      <c r="X15" t="s">
        <v>283</v>
      </c>
      <c r="Y15">
        <v>0</v>
      </c>
      <c r="Z15">
        <v>0</v>
      </c>
    </row>
    <row r="16" spans="1:33" x14ac:dyDescent="0.25">
      <c r="A16" s="127" t="s">
        <v>147</v>
      </c>
      <c r="B16" s="128"/>
      <c r="E16" s="127" t="s">
        <v>147</v>
      </c>
      <c r="F16" s="128"/>
      <c r="X16" t="s">
        <v>284</v>
      </c>
      <c r="Y16">
        <v>-3</v>
      </c>
      <c r="Z16">
        <v>-6</v>
      </c>
    </row>
    <row r="17" spans="1:47" x14ac:dyDescent="0.25">
      <c r="A17" s="129" t="s">
        <v>148</v>
      </c>
      <c r="B17" s="130" t="s">
        <v>149</v>
      </c>
      <c r="E17" s="129" t="s">
        <v>148</v>
      </c>
      <c r="F17" s="130" t="s">
        <v>149</v>
      </c>
      <c r="X17" t="s">
        <v>152</v>
      </c>
      <c r="Y17">
        <v>-3</v>
      </c>
      <c r="Z17">
        <v>-6</v>
      </c>
    </row>
    <row r="18" spans="1:47" x14ac:dyDescent="0.25">
      <c r="A18" s="131">
        <v>1</v>
      </c>
      <c r="B18" s="132">
        <f>IF(A18=$A$28,$A$29,"")</f>
        <v>2</v>
      </c>
      <c r="E18" s="131">
        <v>1</v>
      </c>
      <c r="F18" s="132">
        <f>IF(E18=$E$28,$E$29,"")</f>
        <v>1</v>
      </c>
      <c r="X18" t="s">
        <v>285</v>
      </c>
      <c r="Y18">
        <v>-3</v>
      </c>
      <c r="Z18">
        <v>-6</v>
      </c>
    </row>
    <row r="19" spans="1:47" x14ac:dyDescent="0.25">
      <c r="A19" s="131">
        <v>2</v>
      </c>
      <c r="B19" s="132" t="str">
        <f>IF(A19=$A$28,$A$29,"")</f>
        <v/>
      </c>
      <c r="E19" s="131">
        <v>2</v>
      </c>
      <c r="F19" s="132" t="str">
        <f>IF(E19=$E$28,$E$29,"")</f>
        <v/>
      </c>
      <c r="X19" t="s">
        <v>286</v>
      </c>
      <c r="Y19">
        <v>-5</v>
      </c>
      <c r="Z19">
        <v>-12</v>
      </c>
    </row>
    <row r="20" spans="1:47" x14ac:dyDescent="0.25">
      <c r="A20" s="131">
        <v>3</v>
      </c>
      <c r="B20" s="132" t="str">
        <f>IF(A20=$A$28,$A$29,"")</f>
        <v/>
      </c>
      <c r="E20" s="131">
        <v>3</v>
      </c>
      <c r="F20" s="132" t="str">
        <f>IF(E20=$E$28,$E$29,"")</f>
        <v/>
      </c>
      <c r="X20" t="s">
        <v>287</v>
      </c>
      <c r="Y20">
        <v>-5</v>
      </c>
      <c r="Z20">
        <v>-12</v>
      </c>
    </row>
    <row r="21" spans="1:47" x14ac:dyDescent="0.25">
      <c r="A21" s="131">
        <v>4</v>
      </c>
      <c r="B21" s="132" t="str">
        <f>IF(A21=$A$28,$A$29,"")</f>
        <v/>
      </c>
      <c r="E21" s="131">
        <v>4</v>
      </c>
      <c r="F21" s="132" t="str">
        <f>IF(E21=$E$28,$E$29,"")</f>
        <v/>
      </c>
      <c r="X21" t="s">
        <v>288</v>
      </c>
      <c r="Y21">
        <v>-5</v>
      </c>
      <c r="Z21">
        <v>-12</v>
      </c>
    </row>
    <row r="22" spans="1:47" x14ac:dyDescent="0.25">
      <c r="A22" s="131"/>
      <c r="B22" s="132"/>
      <c r="E22" s="131"/>
      <c r="F22" s="132"/>
      <c r="X22" t="s">
        <v>289</v>
      </c>
      <c r="Y22">
        <v>-8</v>
      </c>
      <c r="Z22">
        <v>-18</v>
      </c>
    </row>
    <row r="23" spans="1:47" x14ac:dyDescent="0.25">
      <c r="A23" s="129" t="s">
        <v>150</v>
      </c>
      <c r="B23" s="130"/>
      <c r="E23" s="129" t="s">
        <v>150</v>
      </c>
      <c r="F23" s="130"/>
      <c r="X23" t="s">
        <v>290</v>
      </c>
      <c r="Y23">
        <v>-8</v>
      </c>
      <c r="Z23">
        <v>-18</v>
      </c>
    </row>
    <row r="24" spans="1:47" x14ac:dyDescent="0.25">
      <c r="A24" s="131" t="s">
        <v>151</v>
      </c>
      <c r="B24" s="132">
        <v>3</v>
      </c>
      <c r="E24" s="131" t="s">
        <v>151</v>
      </c>
      <c r="F24" s="132">
        <v>3</v>
      </c>
      <c r="X24" t="s">
        <v>291</v>
      </c>
      <c r="Y24">
        <v>-8</v>
      </c>
      <c r="Z24">
        <v>-18</v>
      </c>
    </row>
    <row r="25" spans="1:47" x14ac:dyDescent="0.25">
      <c r="A25" s="131" t="s">
        <v>152</v>
      </c>
      <c r="B25" s="132">
        <v>2</v>
      </c>
      <c r="E25" s="131" t="s">
        <v>152</v>
      </c>
      <c r="F25" s="132">
        <v>2</v>
      </c>
      <c r="X25" t="s">
        <v>153</v>
      </c>
      <c r="Y25">
        <v>-10</v>
      </c>
      <c r="Z25">
        <v>-25</v>
      </c>
    </row>
    <row r="26" spans="1:47" x14ac:dyDescent="0.25">
      <c r="A26" s="134" t="s">
        <v>153</v>
      </c>
      <c r="B26" s="133">
        <v>1</v>
      </c>
      <c r="E26" s="134" t="s">
        <v>153</v>
      </c>
      <c r="F26" s="133">
        <v>1</v>
      </c>
      <c r="X26" t="s">
        <v>292</v>
      </c>
      <c r="Y26">
        <v>-10</v>
      </c>
      <c r="Z26">
        <v>-25</v>
      </c>
    </row>
    <row r="27" spans="1:47" x14ac:dyDescent="0.25">
      <c r="A27" s="131"/>
      <c r="B27" s="132"/>
      <c r="E27" s="131"/>
      <c r="F27" s="132"/>
      <c r="X27" t="s">
        <v>293</v>
      </c>
      <c r="Y27">
        <v>0</v>
      </c>
      <c r="Z27">
        <v>0</v>
      </c>
    </row>
    <row r="28" spans="1:47" x14ac:dyDescent="0.25">
      <c r="A28" s="135">
        <f>'РСБУ расчет лимита'!J60</f>
        <v>1</v>
      </c>
      <c r="B28" s="130"/>
      <c r="E28" s="135">
        <f>'МСФО расчет лимита'!$J$57</f>
        <v>1</v>
      </c>
      <c r="F28" s="130"/>
      <c r="X28" t="s">
        <v>302</v>
      </c>
      <c r="Y28">
        <v>0</v>
      </c>
      <c r="Z28">
        <v>0</v>
      </c>
    </row>
    <row r="29" spans="1:47" ht="15.75" thickBot="1" x14ac:dyDescent="0.3">
      <c r="A29" s="167">
        <f>INDEX(B24:B26,MATCH('РСБУ расчет лимита'!J61,Подложка!A24:A26,0))</f>
        <v>2</v>
      </c>
      <c r="B29" s="168"/>
      <c r="E29" s="167">
        <f>INDEX(F24:F26,MATCH('МСФО расчет лимита'!$J$58,Подложка!E24:E26,0))</f>
        <v>1</v>
      </c>
      <c r="F29" s="168"/>
    </row>
    <row r="31" spans="1:47" ht="15.75" thickBot="1" x14ac:dyDescent="0.3"/>
    <row r="32" spans="1:47" x14ac:dyDescent="0.25">
      <c r="C32" s="421" t="s">
        <v>159</v>
      </c>
      <c r="D32" s="422"/>
      <c r="E32" s="422"/>
      <c r="F32" s="422"/>
      <c r="G32" s="423"/>
      <c r="H32" s="421" t="s">
        <v>160</v>
      </c>
      <c r="I32" s="422"/>
      <c r="J32" s="422"/>
      <c r="K32" s="422"/>
      <c r="L32" s="423"/>
      <c r="M32" s="421" t="s">
        <v>161</v>
      </c>
      <c r="N32" s="422"/>
      <c r="O32" s="422"/>
      <c r="P32" s="422"/>
      <c r="Q32" s="423"/>
      <c r="R32" s="421" t="s">
        <v>162</v>
      </c>
      <c r="S32" s="422"/>
      <c r="T32" s="422"/>
      <c r="U32" s="422"/>
      <c r="V32" s="423"/>
      <c r="W32" s="421" t="s">
        <v>207</v>
      </c>
      <c r="X32" s="422"/>
      <c r="Y32" s="422"/>
      <c r="Z32" s="422"/>
      <c r="AA32" s="423"/>
      <c r="AB32" s="421" t="s">
        <v>163</v>
      </c>
      <c r="AC32" s="422"/>
      <c r="AD32" s="422"/>
      <c r="AE32" s="422"/>
      <c r="AF32" s="423"/>
      <c r="AG32" s="421" t="s">
        <v>164</v>
      </c>
      <c r="AH32" s="422"/>
      <c r="AI32" s="422"/>
      <c r="AJ32" s="422"/>
      <c r="AK32" s="423"/>
      <c r="AL32" s="421" t="s">
        <v>165</v>
      </c>
      <c r="AM32" s="422"/>
      <c r="AN32" s="422"/>
      <c r="AO32" s="422"/>
      <c r="AP32" s="423"/>
      <c r="AQ32" s="421" t="s">
        <v>262</v>
      </c>
      <c r="AR32" s="422"/>
      <c r="AS32" s="422"/>
      <c r="AT32" s="422"/>
      <c r="AU32" s="423"/>
    </row>
    <row r="33" spans="1:47" ht="45" customHeight="1" x14ac:dyDescent="0.25">
      <c r="A33" s="152" t="s">
        <v>184</v>
      </c>
      <c r="B33" s="153" t="s">
        <v>166</v>
      </c>
      <c r="C33" s="424" t="s">
        <v>167</v>
      </c>
      <c r="D33" s="425"/>
      <c r="E33" s="425"/>
      <c r="F33" s="425"/>
      <c r="G33" s="426"/>
      <c r="H33" s="424" t="s">
        <v>168</v>
      </c>
      <c r="I33" s="425"/>
      <c r="J33" s="425"/>
      <c r="K33" s="425"/>
      <c r="L33" s="426"/>
      <c r="M33" s="424" t="s">
        <v>169</v>
      </c>
      <c r="N33" s="425"/>
      <c r="O33" s="425"/>
      <c r="P33" s="425"/>
      <c r="Q33" s="426"/>
      <c r="R33" s="424" t="s">
        <v>170</v>
      </c>
      <c r="S33" s="425"/>
      <c r="T33" s="425"/>
      <c r="U33" s="425"/>
      <c r="V33" s="426"/>
      <c r="W33" s="424" t="s">
        <v>171</v>
      </c>
      <c r="X33" s="425"/>
      <c r="Y33" s="425"/>
      <c r="Z33" s="425"/>
      <c r="AA33" s="426"/>
      <c r="AB33" s="424" t="s">
        <v>172</v>
      </c>
      <c r="AC33" s="425"/>
      <c r="AD33" s="425"/>
      <c r="AE33" s="425"/>
      <c r="AF33" s="426"/>
      <c r="AG33" s="424" t="s">
        <v>173</v>
      </c>
      <c r="AH33" s="425"/>
      <c r="AI33" s="425"/>
      <c r="AJ33" s="425"/>
      <c r="AK33" s="426"/>
      <c r="AL33" s="424" t="s">
        <v>174</v>
      </c>
      <c r="AM33" s="425"/>
      <c r="AN33" s="425"/>
      <c r="AO33" s="425"/>
      <c r="AP33" s="426"/>
      <c r="AQ33" s="424" t="s">
        <v>263</v>
      </c>
      <c r="AR33" s="425"/>
      <c r="AS33" s="425"/>
      <c r="AT33" s="425"/>
      <c r="AU33" s="426"/>
    </row>
    <row r="34" spans="1:47" x14ac:dyDescent="0.25">
      <c r="A34" s="152"/>
      <c r="B34" s="153" t="s">
        <v>97</v>
      </c>
      <c r="C34" s="147">
        <v>40</v>
      </c>
      <c r="D34" s="148">
        <v>70</v>
      </c>
      <c r="E34" s="155">
        <v>100</v>
      </c>
      <c r="F34" s="179"/>
      <c r="G34" s="180"/>
      <c r="H34" s="147">
        <v>40</v>
      </c>
      <c r="I34" s="148">
        <v>70</v>
      </c>
      <c r="J34" s="155">
        <v>100</v>
      </c>
      <c r="K34" s="179"/>
      <c r="L34" s="180"/>
      <c r="M34" s="147">
        <v>40</v>
      </c>
      <c r="N34" s="148">
        <v>70</v>
      </c>
      <c r="O34" s="155">
        <v>100</v>
      </c>
      <c r="P34" s="179"/>
      <c r="Q34" s="180"/>
      <c r="R34" s="147">
        <v>40</v>
      </c>
      <c r="S34" s="148">
        <v>70</v>
      </c>
      <c r="T34" s="155">
        <v>100</v>
      </c>
      <c r="U34" s="179"/>
      <c r="V34" s="180"/>
      <c r="W34" s="147">
        <v>40</v>
      </c>
      <c r="X34" s="148">
        <v>70</v>
      </c>
      <c r="Y34" s="155">
        <v>100</v>
      </c>
      <c r="Z34" s="179"/>
      <c r="AA34" s="180"/>
      <c r="AB34" s="147">
        <v>40</v>
      </c>
      <c r="AC34" s="148">
        <v>70</v>
      </c>
      <c r="AD34" s="155">
        <v>100</v>
      </c>
      <c r="AE34" s="179"/>
      <c r="AF34" s="180"/>
      <c r="AG34" s="147">
        <v>40</v>
      </c>
      <c r="AH34" s="148">
        <v>70</v>
      </c>
      <c r="AI34" s="155">
        <v>100</v>
      </c>
      <c r="AJ34" s="179"/>
      <c r="AK34" s="180"/>
      <c r="AL34" s="147">
        <v>40</v>
      </c>
      <c r="AM34" s="148">
        <v>70</v>
      </c>
      <c r="AN34" s="155">
        <v>100</v>
      </c>
      <c r="AO34" s="179"/>
      <c r="AP34" s="180"/>
      <c r="AQ34" s="147">
        <v>40</v>
      </c>
      <c r="AR34" s="148">
        <v>70</v>
      </c>
      <c r="AS34" s="155">
        <v>100</v>
      </c>
      <c r="AT34" s="179"/>
      <c r="AU34" s="180"/>
    </row>
    <row r="35" spans="1:47" ht="45" x14ac:dyDescent="0.25">
      <c r="A35" s="149" t="s">
        <v>175</v>
      </c>
      <c r="B35" s="150" t="s">
        <v>234</v>
      </c>
      <c r="C35" s="162">
        <v>1</v>
      </c>
      <c r="D35" s="158">
        <v>1.4</v>
      </c>
      <c r="E35" s="159">
        <v>2.2000000000000002</v>
      </c>
      <c r="F35" s="175"/>
      <c r="G35" s="176"/>
      <c r="H35" s="162">
        <v>0.9</v>
      </c>
      <c r="I35" s="158">
        <v>1.3</v>
      </c>
      <c r="J35" s="159">
        <v>2.2000000000000002</v>
      </c>
      <c r="K35" s="175"/>
      <c r="L35" s="176"/>
      <c r="M35" s="162">
        <v>0.8</v>
      </c>
      <c r="N35" s="158">
        <v>1.2</v>
      </c>
      <c r="O35" s="159">
        <v>2</v>
      </c>
      <c r="P35" s="175"/>
      <c r="Q35" s="176"/>
      <c r="R35" s="162">
        <v>1.1000000000000001</v>
      </c>
      <c r="S35" s="158">
        <v>1.5</v>
      </c>
      <c r="T35" s="159">
        <v>2.4</v>
      </c>
      <c r="U35" s="175"/>
      <c r="V35" s="176"/>
      <c r="W35" s="162">
        <v>1</v>
      </c>
      <c r="X35" s="158">
        <v>1.5</v>
      </c>
      <c r="Y35" s="159">
        <v>2.6</v>
      </c>
      <c r="Z35" s="175"/>
      <c r="AA35" s="176"/>
      <c r="AB35" s="162">
        <v>1</v>
      </c>
      <c r="AC35" s="158">
        <v>1.9</v>
      </c>
      <c r="AD35" s="159">
        <v>3.2</v>
      </c>
      <c r="AE35" s="175"/>
      <c r="AF35" s="176"/>
      <c r="AG35" s="162">
        <v>0.7</v>
      </c>
      <c r="AH35" s="158">
        <v>1.3</v>
      </c>
      <c r="AI35" s="159">
        <v>2.5</v>
      </c>
      <c r="AJ35" s="175"/>
      <c r="AK35" s="176"/>
      <c r="AL35" s="162">
        <v>1</v>
      </c>
      <c r="AM35" s="158">
        <v>1.6</v>
      </c>
      <c r="AN35" s="159">
        <v>3.4</v>
      </c>
      <c r="AO35" s="175"/>
      <c r="AP35" s="176"/>
      <c r="AQ35" s="162">
        <v>1.1000000000000001</v>
      </c>
      <c r="AR35" s="158">
        <v>1.9</v>
      </c>
      <c r="AS35" s="159">
        <v>3.4</v>
      </c>
      <c r="AT35" s="175"/>
      <c r="AU35" s="176"/>
    </row>
    <row r="36" spans="1:47" ht="45" x14ac:dyDescent="0.25">
      <c r="A36" s="149" t="s">
        <v>176</v>
      </c>
      <c r="B36" s="151" t="s">
        <v>4</v>
      </c>
      <c r="C36" s="162">
        <v>0.7</v>
      </c>
      <c r="D36" s="158">
        <v>1.1000000000000001</v>
      </c>
      <c r="E36" s="159">
        <v>1.7</v>
      </c>
      <c r="F36" s="175"/>
      <c r="G36" s="176"/>
      <c r="H36" s="162">
        <v>0.6</v>
      </c>
      <c r="I36" s="158">
        <v>1</v>
      </c>
      <c r="J36" s="159">
        <v>1.7</v>
      </c>
      <c r="K36" s="175"/>
      <c r="L36" s="176"/>
      <c r="M36" s="162">
        <v>0.6</v>
      </c>
      <c r="N36" s="158">
        <v>1.1000000000000001</v>
      </c>
      <c r="O36" s="159">
        <v>1.7</v>
      </c>
      <c r="P36" s="175"/>
      <c r="Q36" s="176"/>
      <c r="R36" s="162">
        <v>0.5</v>
      </c>
      <c r="S36" s="158">
        <v>0.9</v>
      </c>
      <c r="T36" s="159">
        <v>1.4</v>
      </c>
      <c r="U36" s="175"/>
      <c r="V36" s="176"/>
      <c r="W36" s="162">
        <v>0.5</v>
      </c>
      <c r="X36" s="158">
        <v>0.9</v>
      </c>
      <c r="Y36" s="159">
        <v>1.5</v>
      </c>
      <c r="Z36" s="175"/>
      <c r="AA36" s="176"/>
      <c r="AB36" s="162">
        <v>0.7</v>
      </c>
      <c r="AC36" s="158">
        <v>1.4</v>
      </c>
      <c r="AD36" s="159">
        <v>2.7</v>
      </c>
      <c r="AE36" s="175"/>
      <c r="AF36" s="176"/>
      <c r="AG36" s="162">
        <v>0.5</v>
      </c>
      <c r="AH36" s="158">
        <v>1</v>
      </c>
      <c r="AI36" s="159">
        <v>1.8</v>
      </c>
      <c r="AJ36" s="175"/>
      <c r="AK36" s="176"/>
      <c r="AL36" s="162">
        <v>0.7</v>
      </c>
      <c r="AM36" s="158">
        <v>1.2</v>
      </c>
      <c r="AN36" s="159">
        <v>2.5</v>
      </c>
      <c r="AO36" s="175"/>
      <c r="AP36" s="176"/>
      <c r="AQ36" s="162">
        <v>0.8</v>
      </c>
      <c r="AR36" s="158">
        <v>1.3</v>
      </c>
      <c r="AS36" s="159">
        <v>2.7</v>
      </c>
      <c r="AT36" s="175"/>
      <c r="AU36" s="176"/>
    </row>
    <row r="37" spans="1:47" ht="45" x14ac:dyDescent="0.25">
      <c r="A37" s="149" t="s">
        <v>177</v>
      </c>
      <c r="B37" s="193" t="s">
        <v>343</v>
      </c>
      <c r="C37" s="163">
        <v>80</v>
      </c>
      <c r="D37" s="160">
        <v>30</v>
      </c>
      <c r="E37" s="161">
        <v>0</v>
      </c>
      <c r="F37" s="175"/>
      <c r="G37" s="176"/>
      <c r="H37" s="163">
        <v>90</v>
      </c>
      <c r="I37" s="160">
        <v>35</v>
      </c>
      <c r="J37" s="161">
        <v>0</v>
      </c>
      <c r="K37" s="175"/>
      <c r="L37" s="176"/>
      <c r="M37" s="163">
        <v>50</v>
      </c>
      <c r="N37" s="160">
        <v>20</v>
      </c>
      <c r="O37" s="161">
        <v>0</v>
      </c>
      <c r="P37" s="175"/>
      <c r="Q37" s="176"/>
      <c r="R37" s="163">
        <v>60</v>
      </c>
      <c r="S37" s="160">
        <v>30</v>
      </c>
      <c r="T37" s="161">
        <v>5</v>
      </c>
      <c r="U37" s="175"/>
      <c r="V37" s="176"/>
      <c r="W37" s="163">
        <v>120</v>
      </c>
      <c r="X37" s="160">
        <v>50</v>
      </c>
      <c r="Y37" s="161">
        <v>2</v>
      </c>
      <c r="Z37" s="175"/>
      <c r="AA37" s="176"/>
      <c r="AB37" s="163">
        <v>95</v>
      </c>
      <c r="AC37" s="160">
        <v>30</v>
      </c>
      <c r="AD37" s="161">
        <v>0</v>
      </c>
      <c r="AE37" s="175"/>
      <c r="AF37" s="176"/>
      <c r="AG37" s="163">
        <v>70</v>
      </c>
      <c r="AH37" s="160">
        <v>20</v>
      </c>
      <c r="AI37" s="161">
        <v>0</v>
      </c>
      <c r="AJ37" s="175"/>
      <c r="AK37" s="176"/>
      <c r="AL37" s="163">
        <v>70</v>
      </c>
      <c r="AM37" s="160">
        <v>20</v>
      </c>
      <c r="AN37" s="161">
        <v>0</v>
      </c>
      <c r="AO37" s="175"/>
      <c r="AP37" s="176"/>
      <c r="AQ37" s="163">
        <v>85</v>
      </c>
      <c r="AR37" s="160">
        <v>25</v>
      </c>
      <c r="AS37" s="161">
        <v>0</v>
      </c>
      <c r="AT37" s="175"/>
      <c r="AU37" s="176"/>
    </row>
    <row r="38" spans="1:47" ht="30" x14ac:dyDescent="0.25">
      <c r="A38" s="149" t="s">
        <v>178</v>
      </c>
      <c r="B38" s="151" t="s">
        <v>252</v>
      </c>
      <c r="C38" s="162">
        <v>0.1</v>
      </c>
      <c r="D38" s="158">
        <v>0.4</v>
      </c>
      <c r="E38" s="159">
        <v>0.6</v>
      </c>
      <c r="F38" s="175"/>
      <c r="G38" s="176"/>
      <c r="H38" s="162">
        <v>0.1</v>
      </c>
      <c r="I38" s="158">
        <v>0.4</v>
      </c>
      <c r="J38" s="159">
        <v>0.7</v>
      </c>
      <c r="K38" s="175"/>
      <c r="L38" s="176"/>
      <c r="M38" s="162">
        <v>0.1</v>
      </c>
      <c r="N38" s="158">
        <v>0.3</v>
      </c>
      <c r="O38" s="159">
        <v>0.6</v>
      </c>
      <c r="P38" s="175"/>
      <c r="Q38" s="176"/>
      <c r="R38" s="162">
        <v>0.1</v>
      </c>
      <c r="S38" s="158">
        <v>0.3</v>
      </c>
      <c r="T38" s="159">
        <v>0.6</v>
      </c>
      <c r="U38" s="175"/>
      <c r="V38" s="176"/>
      <c r="W38" s="162">
        <v>0.2</v>
      </c>
      <c r="X38" s="158">
        <v>0.4</v>
      </c>
      <c r="Y38" s="159">
        <v>0.7</v>
      </c>
      <c r="Z38" s="175"/>
      <c r="AA38" s="176"/>
      <c r="AB38" s="162">
        <v>0.1</v>
      </c>
      <c r="AC38" s="158">
        <v>0.4</v>
      </c>
      <c r="AD38" s="159">
        <v>0.8</v>
      </c>
      <c r="AE38" s="175"/>
      <c r="AF38" s="176"/>
      <c r="AG38" s="162">
        <v>0.1</v>
      </c>
      <c r="AH38" s="158">
        <v>0.3</v>
      </c>
      <c r="AI38" s="159">
        <v>0.7</v>
      </c>
      <c r="AJ38" s="175"/>
      <c r="AK38" s="176"/>
      <c r="AL38" s="162">
        <v>0.2</v>
      </c>
      <c r="AM38" s="158">
        <v>0.5</v>
      </c>
      <c r="AN38" s="159">
        <v>0.8</v>
      </c>
      <c r="AO38" s="175"/>
      <c r="AP38" s="176"/>
      <c r="AQ38" s="162">
        <v>0.2</v>
      </c>
      <c r="AR38" s="158">
        <v>0.5</v>
      </c>
      <c r="AS38" s="159">
        <v>0.8</v>
      </c>
      <c r="AT38" s="175"/>
      <c r="AU38" s="176"/>
    </row>
    <row r="39" spans="1:47" ht="30" x14ac:dyDescent="0.25">
      <c r="A39" s="154" t="s">
        <v>179</v>
      </c>
      <c r="B39" s="151" t="s">
        <v>41</v>
      </c>
      <c r="C39" s="163">
        <v>2</v>
      </c>
      <c r="D39" s="160">
        <v>6</v>
      </c>
      <c r="E39" s="161">
        <v>13</v>
      </c>
      <c r="F39" s="175"/>
      <c r="G39" s="176"/>
      <c r="H39" s="163">
        <v>1</v>
      </c>
      <c r="I39" s="160">
        <v>6</v>
      </c>
      <c r="J39" s="161">
        <v>13</v>
      </c>
      <c r="K39" s="175"/>
      <c r="L39" s="176"/>
      <c r="M39" s="163">
        <v>1</v>
      </c>
      <c r="N39" s="160">
        <v>5</v>
      </c>
      <c r="O39" s="161">
        <v>11</v>
      </c>
      <c r="P39" s="175"/>
      <c r="Q39" s="176"/>
      <c r="R39" s="163">
        <v>1</v>
      </c>
      <c r="S39" s="160">
        <v>3</v>
      </c>
      <c r="T39" s="161">
        <v>6</v>
      </c>
      <c r="U39" s="175"/>
      <c r="V39" s="176"/>
      <c r="W39" s="163">
        <v>2</v>
      </c>
      <c r="X39" s="160">
        <v>7</v>
      </c>
      <c r="Y39" s="161">
        <v>15</v>
      </c>
      <c r="Z39" s="175"/>
      <c r="AA39" s="176"/>
      <c r="AB39" s="163">
        <v>0</v>
      </c>
      <c r="AC39" s="160">
        <v>4</v>
      </c>
      <c r="AD39" s="161">
        <v>12</v>
      </c>
      <c r="AE39" s="175"/>
      <c r="AF39" s="176"/>
      <c r="AG39" s="163">
        <v>0</v>
      </c>
      <c r="AH39" s="160">
        <v>4</v>
      </c>
      <c r="AI39" s="161">
        <v>17</v>
      </c>
      <c r="AJ39" s="175"/>
      <c r="AK39" s="176"/>
      <c r="AL39" s="163">
        <v>2</v>
      </c>
      <c r="AM39" s="160">
        <v>9</v>
      </c>
      <c r="AN39" s="161">
        <v>22</v>
      </c>
      <c r="AO39" s="175"/>
      <c r="AP39" s="176"/>
      <c r="AQ39" s="163">
        <v>2</v>
      </c>
      <c r="AR39" s="160">
        <v>10</v>
      </c>
      <c r="AS39" s="161">
        <v>19</v>
      </c>
      <c r="AT39" s="175"/>
      <c r="AU39" s="176"/>
    </row>
    <row r="40" spans="1:47" ht="30" x14ac:dyDescent="0.25">
      <c r="A40" s="154" t="s">
        <v>180</v>
      </c>
      <c r="B40" s="151" t="s">
        <v>235</v>
      </c>
      <c r="C40" s="162">
        <v>1.1000000000000001</v>
      </c>
      <c r="D40" s="158">
        <v>0.3</v>
      </c>
      <c r="E40" s="161">
        <v>0</v>
      </c>
      <c r="F40" s="177"/>
      <c r="G40" s="178"/>
      <c r="H40" s="163">
        <v>3.3</v>
      </c>
      <c r="I40" s="160">
        <v>1.3</v>
      </c>
      <c r="J40" s="161">
        <v>0</v>
      </c>
      <c r="K40" s="177"/>
      <c r="L40" s="178"/>
      <c r="M40" s="163">
        <v>2.5</v>
      </c>
      <c r="N40" s="160">
        <v>0.8</v>
      </c>
      <c r="O40" s="161">
        <v>0.2</v>
      </c>
      <c r="P40" s="177"/>
      <c r="Q40" s="178"/>
      <c r="R40" s="163">
        <v>3.7</v>
      </c>
      <c r="S40" s="160">
        <v>1.5</v>
      </c>
      <c r="T40" s="161">
        <v>0.3</v>
      </c>
      <c r="U40" s="177"/>
      <c r="V40" s="178"/>
      <c r="W40" s="162">
        <v>2.7</v>
      </c>
      <c r="X40" s="158">
        <v>0.9</v>
      </c>
      <c r="Y40" s="159">
        <v>0.1</v>
      </c>
      <c r="Z40" s="177"/>
      <c r="AA40" s="178"/>
      <c r="AB40" s="163">
        <v>0.9</v>
      </c>
      <c r="AC40" s="160">
        <v>0.3</v>
      </c>
      <c r="AD40" s="161">
        <v>0</v>
      </c>
      <c r="AE40" s="177"/>
      <c r="AF40" s="178"/>
      <c r="AG40" s="163">
        <v>1.6</v>
      </c>
      <c r="AH40" s="160">
        <v>0.3</v>
      </c>
      <c r="AI40" s="161">
        <v>0</v>
      </c>
      <c r="AJ40" s="177"/>
      <c r="AK40" s="178"/>
      <c r="AL40" s="163">
        <v>0.9</v>
      </c>
      <c r="AM40" s="160">
        <v>0.3</v>
      </c>
      <c r="AN40" s="161">
        <v>0</v>
      </c>
      <c r="AO40" s="177"/>
      <c r="AP40" s="178"/>
      <c r="AQ40" s="163">
        <v>1.5</v>
      </c>
      <c r="AR40" s="160">
        <v>0.2</v>
      </c>
      <c r="AS40" s="161">
        <v>0</v>
      </c>
      <c r="AT40" s="177"/>
      <c r="AU40" s="178"/>
    </row>
    <row r="41" spans="1:47" ht="30" x14ac:dyDescent="0.25">
      <c r="A41" s="154" t="s">
        <v>250</v>
      </c>
      <c r="B41" s="151" t="s">
        <v>236</v>
      </c>
      <c r="C41" s="163">
        <v>1.2</v>
      </c>
      <c r="D41" s="160">
        <v>3.2</v>
      </c>
      <c r="E41" s="161">
        <v>11.5</v>
      </c>
      <c r="F41" s="177"/>
      <c r="G41" s="178"/>
      <c r="H41" s="163">
        <v>0.5</v>
      </c>
      <c r="I41" s="160">
        <v>2.2000000000000002</v>
      </c>
      <c r="J41" s="161">
        <v>8.1</v>
      </c>
      <c r="K41" s="177"/>
      <c r="L41" s="178"/>
      <c r="M41" s="163">
        <v>1.1000000000000001</v>
      </c>
      <c r="N41" s="160">
        <v>2</v>
      </c>
      <c r="O41" s="161">
        <v>4.9000000000000004</v>
      </c>
      <c r="P41" s="177"/>
      <c r="Q41" s="178"/>
      <c r="R41" s="163">
        <v>0.9</v>
      </c>
      <c r="S41" s="160">
        <v>1.6</v>
      </c>
      <c r="T41" s="161">
        <v>4.4000000000000004</v>
      </c>
      <c r="U41" s="177"/>
      <c r="V41" s="178"/>
      <c r="W41" s="163">
        <v>1.1000000000000001</v>
      </c>
      <c r="X41" s="160">
        <v>2.8</v>
      </c>
      <c r="Y41" s="161">
        <v>9.1999999999999993</v>
      </c>
      <c r="Z41" s="177"/>
      <c r="AA41" s="178"/>
      <c r="AB41" s="163">
        <v>1.1000000000000001</v>
      </c>
      <c r="AC41" s="160">
        <v>2.6</v>
      </c>
      <c r="AD41" s="161">
        <v>5.9</v>
      </c>
      <c r="AE41" s="177"/>
      <c r="AF41" s="178"/>
      <c r="AG41" s="163">
        <v>0</v>
      </c>
      <c r="AH41" s="160">
        <v>1.4</v>
      </c>
      <c r="AI41" s="161">
        <v>4.9000000000000004</v>
      </c>
      <c r="AJ41" s="177"/>
      <c r="AK41" s="178"/>
      <c r="AL41" s="163">
        <v>0.8</v>
      </c>
      <c r="AM41" s="160">
        <v>2.5</v>
      </c>
      <c r="AN41" s="161">
        <v>9.3000000000000007</v>
      </c>
      <c r="AO41" s="177"/>
      <c r="AP41" s="178"/>
      <c r="AQ41" s="163">
        <v>0.5</v>
      </c>
      <c r="AR41" s="160">
        <v>3.1</v>
      </c>
      <c r="AS41" s="161">
        <v>18.2</v>
      </c>
      <c r="AT41" s="177"/>
      <c r="AU41" s="178"/>
    </row>
    <row r="42" spans="1:47" ht="30" x14ac:dyDescent="0.25">
      <c r="A42" s="154" t="s">
        <v>181</v>
      </c>
      <c r="B42" s="151" t="s">
        <v>253</v>
      </c>
      <c r="C42" s="162">
        <v>-0.1</v>
      </c>
      <c r="D42" s="158">
        <v>0.2</v>
      </c>
      <c r="E42" s="159">
        <v>0.5</v>
      </c>
      <c r="F42" s="177"/>
      <c r="G42" s="178"/>
      <c r="H42" s="163">
        <v>-0.4</v>
      </c>
      <c r="I42" s="160">
        <v>0</v>
      </c>
      <c r="J42" s="161">
        <v>0.4</v>
      </c>
      <c r="K42" s="177"/>
      <c r="L42" s="178"/>
      <c r="M42" s="163">
        <v>-0.6</v>
      </c>
      <c r="N42" s="160">
        <v>0</v>
      </c>
      <c r="O42" s="161">
        <v>0.4</v>
      </c>
      <c r="P42" s="177"/>
      <c r="Q42" s="178"/>
      <c r="R42" s="163">
        <v>0</v>
      </c>
      <c r="S42" s="160">
        <v>0.2</v>
      </c>
      <c r="T42" s="161">
        <v>0.5</v>
      </c>
      <c r="U42" s="177"/>
      <c r="V42" s="178"/>
      <c r="W42" s="163">
        <v>-0.2</v>
      </c>
      <c r="X42" s="160">
        <v>0.2</v>
      </c>
      <c r="Y42" s="161">
        <v>0.6</v>
      </c>
      <c r="Z42" s="177"/>
      <c r="AA42" s="178"/>
      <c r="AB42" s="163">
        <v>-0.6</v>
      </c>
      <c r="AC42" s="160">
        <v>0.1</v>
      </c>
      <c r="AD42" s="161">
        <v>0.6</v>
      </c>
      <c r="AE42" s="177"/>
      <c r="AF42" s="178"/>
      <c r="AG42" s="163">
        <v>-0.7</v>
      </c>
      <c r="AH42" s="160">
        <v>0</v>
      </c>
      <c r="AI42" s="161">
        <v>0.4</v>
      </c>
      <c r="AJ42" s="177"/>
      <c r="AK42" s="178"/>
      <c r="AL42" s="163">
        <v>-0.2</v>
      </c>
      <c r="AM42" s="160">
        <v>0.3</v>
      </c>
      <c r="AN42" s="161">
        <v>0.7</v>
      </c>
      <c r="AO42" s="177"/>
      <c r="AP42" s="178"/>
      <c r="AQ42" s="163">
        <v>0.1</v>
      </c>
      <c r="AR42" s="160">
        <v>0.4</v>
      </c>
      <c r="AS42" s="161">
        <v>0.7</v>
      </c>
      <c r="AT42" s="177"/>
      <c r="AU42" s="178"/>
    </row>
    <row r="43" spans="1:47" ht="30" x14ac:dyDescent="0.25">
      <c r="A43" s="154" t="s">
        <v>251</v>
      </c>
      <c r="B43" s="151" t="s">
        <v>254</v>
      </c>
      <c r="C43" s="163">
        <v>4</v>
      </c>
      <c r="D43" s="160">
        <v>19</v>
      </c>
      <c r="E43" s="161">
        <v>43</v>
      </c>
      <c r="F43" s="177"/>
      <c r="G43" s="178"/>
      <c r="H43" s="163">
        <v>1</v>
      </c>
      <c r="I43" s="160">
        <v>10</v>
      </c>
      <c r="J43" s="161">
        <v>26</v>
      </c>
      <c r="K43" s="177"/>
      <c r="L43" s="178"/>
      <c r="M43" s="163">
        <v>5</v>
      </c>
      <c r="N43" s="160">
        <v>15</v>
      </c>
      <c r="O43" s="161">
        <v>30</v>
      </c>
      <c r="P43" s="177"/>
      <c r="Q43" s="178"/>
      <c r="R43" s="163">
        <v>6</v>
      </c>
      <c r="S43" s="160">
        <v>20</v>
      </c>
      <c r="T43" s="161">
        <v>43</v>
      </c>
      <c r="U43" s="177"/>
      <c r="V43" s="178"/>
      <c r="W43" s="163">
        <v>5</v>
      </c>
      <c r="X43" s="160">
        <v>15</v>
      </c>
      <c r="Y43" s="161">
        <v>32</v>
      </c>
      <c r="Z43" s="177"/>
      <c r="AA43" s="178"/>
      <c r="AB43" s="163">
        <v>1</v>
      </c>
      <c r="AC43" s="160">
        <v>12</v>
      </c>
      <c r="AD43" s="161">
        <v>42</v>
      </c>
      <c r="AE43" s="177"/>
      <c r="AF43" s="178"/>
      <c r="AG43" s="163">
        <v>2</v>
      </c>
      <c r="AH43" s="160">
        <v>14</v>
      </c>
      <c r="AI43" s="161">
        <v>39</v>
      </c>
      <c r="AJ43" s="177"/>
      <c r="AK43" s="178"/>
      <c r="AL43" s="163">
        <v>3</v>
      </c>
      <c r="AM43" s="160">
        <v>16</v>
      </c>
      <c r="AN43" s="161">
        <v>45</v>
      </c>
      <c r="AO43" s="177"/>
      <c r="AP43" s="178"/>
      <c r="AQ43" s="163">
        <v>4</v>
      </c>
      <c r="AR43" s="160">
        <v>24</v>
      </c>
      <c r="AS43" s="161">
        <v>66</v>
      </c>
      <c r="AT43" s="177"/>
      <c r="AU43" s="178"/>
    </row>
    <row r="44" spans="1:47" x14ac:dyDescent="0.25">
      <c r="A44" s="165" t="s">
        <v>183</v>
      </c>
      <c r="C44" s="164"/>
      <c r="D44" s="58"/>
      <c r="E44" s="58"/>
      <c r="F44" s="169" t="s">
        <v>185</v>
      </c>
      <c r="G44" s="170" t="s">
        <v>186</v>
      </c>
      <c r="H44" s="164"/>
      <c r="I44" s="58"/>
      <c r="J44" s="58"/>
      <c r="K44" s="169" t="s">
        <v>185</v>
      </c>
      <c r="L44" s="170" t="s">
        <v>186</v>
      </c>
      <c r="M44" s="164"/>
      <c r="N44" s="58"/>
      <c r="O44" s="58"/>
      <c r="P44" s="169" t="s">
        <v>185</v>
      </c>
      <c r="Q44" s="170" t="s">
        <v>186</v>
      </c>
      <c r="R44" s="164"/>
      <c r="S44" s="58"/>
      <c r="T44" s="58"/>
      <c r="U44" s="169" t="s">
        <v>185</v>
      </c>
      <c r="V44" s="170" t="s">
        <v>186</v>
      </c>
      <c r="W44" s="164"/>
      <c r="X44" s="58"/>
      <c r="Y44" s="58"/>
      <c r="Z44" s="169" t="s">
        <v>185</v>
      </c>
      <c r="AA44" s="170" t="s">
        <v>186</v>
      </c>
      <c r="AB44" s="164"/>
      <c r="AC44" s="58"/>
      <c r="AD44" s="58"/>
      <c r="AE44" s="169" t="s">
        <v>185</v>
      </c>
      <c r="AF44" s="170" t="s">
        <v>186</v>
      </c>
      <c r="AG44" s="164"/>
      <c r="AH44" s="58"/>
      <c r="AI44" s="58"/>
      <c r="AJ44" s="169" t="s">
        <v>185</v>
      </c>
      <c r="AK44" s="170" t="s">
        <v>186</v>
      </c>
      <c r="AL44" s="164"/>
      <c r="AM44" s="58"/>
      <c r="AN44" s="58"/>
      <c r="AO44" s="169" t="s">
        <v>185</v>
      </c>
      <c r="AP44" s="170" t="s">
        <v>186</v>
      </c>
      <c r="AQ44" s="164"/>
      <c r="AR44" s="58"/>
      <c r="AS44" s="58"/>
      <c r="AT44" s="169" t="s">
        <v>185</v>
      </c>
      <c r="AU44" s="170" t="s">
        <v>186</v>
      </c>
    </row>
    <row r="45" spans="1:47" ht="45" x14ac:dyDescent="0.25">
      <c r="A45" s="149" t="s">
        <v>175</v>
      </c>
      <c r="B45" s="150" t="s">
        <v>234</v>
      </c>
      <c r="C45" s="209">
        <f>IF('РСБУ отчетность'!$E$79&gt;=Подложка!C35,1,0)</f>
        <v>1</v>
      </c>
      <c r="D45" s="156">
        <f>IF('РСБУ отчетность'!$E$79&gt;=Подложка!D35,1,0)</f>
        <v>1</v>
      </c>
      <c r="E45" s="210">
        <f>IF('РСБУ отчетность'!$E$79&gt;=Подложка!E35,1,0)</f>
        <v>1</v>
      </c>
      <c r="F45" s="171">
        <f t="shared" ref="F45:F53" si="0">SUM(C45:E45)</f>
        <v>3</v>
      </c>
      <c r="G45" s="172">
        <f>IF(F45=3,100,IF(F45=2,70,IF(F45=1,40,0)))</f>
        <v>100</v>
      </c>
      <c r="H45" s="209">
        <f>IF('РСБУ отчетность'!$E$79&gt;=Подложка!H35,1,0)</f>
        <v>1</v>
      </c>
      <c r="I45" s="156">
        <f>IF('РСБУ отчетность'!$E$79&gt;=Подложка!I35,1,0)</f>
        <v>1</v>
      </c>
      <c r="J45" s="210">
        <f>IF('РСБУ отчетность'!$E$79&gt;=Подложка!J35,1,0)</f>
        <v>1</v>
      </c>
      <c r="K45" s="171">
        <f t="shared" ref="K45:K53" si="1">SUM(H45:J45)</f>
        <v>3</v>
      </c>
      <c r="L45" s="172">
        <f>IF(K45=3,100,IF(K45=2,70,IF(K45=1,40,0)))</f>
        <v>100</v>
      </c>
      <c r="M45" s="209">
        <f>IF('РСБУ отчетность'!$E$79&gt;=Подложка!M35,1,0)</f>
        <v>1</v>
      </c>
      <c r="N45" s="156">
        <f>IF('РСБУ отчетность'!$E$79&gt;=Подложка!N35,1,0)</f>
        <v>1</v>
      </c>
      <c r="O45" s="210">
        <f>IF('РСБУ отчетность'!$E$79&gt;=Подложка!O35,1,0)</f>
        <v>1</v>
      </c>
      <c r="P45" s="171">
        <f t="shared" ref="P45:P53" si="2">SUM(M45:O45)</f>
        <v>3</v>
      </c>
      <c r="Q45" s="172">
        <f>IF(P45=3,100,IF(P45=2,70,IF(P45=1,40,0)))</f>
        <v>100</v>
      </c>
      <c r="R45" s="209">
        <f>IF('РСБУ отчетность'!$E$79&gt;=Подложка!R35,1,0)</f>
        <v>1</v>
      </c>
      <c r="S45" s="156">
        <f>IF('РСБУ отчетность'!$E$79&gt;=Подложка!S35,1,0)</f>
        <v>1</v>
      </c>
      <c r="T45" s="210">
        <f>IF('РСБУ отчетность'!$E$79&gt;=Подложка!T35,1,0)</f>
        <v>1</v>
      </c>
      <c r="U45" s="171">
        <f t="shared" ref="U45:U53" si="3">SUM(R45:T45)</f>
        <v>3</v>
      </c>
      <c r="V45" s="172">
        <f>IF(U45=3,100,IF(U45=2,70,IF(U45=1,40,0)))</f>
        <v>100</v>
      </c>
      <c r="W45" s="209">
        <f>IF('РСБУ отчетность'!$E$79&gt;=Подложка!W35,1,0)</f>
        <v>1</v>
      </c>
      <c r="X45" s="156">
        <f>IF('РСБУ отчетность'!$E$79&gt;=Подложка!X35,1,0)</f>
        <v>1</v>
      </c>
      <c r="Y45" s="210">
        <f>IF('РСБУ отчетность'!$E$79&gt;=Подложка!Y35,1,0)</f>
        <v>1</v>
      </c>
      <c r="Z45" s="171">
        <f t="shared" ref="Z45:Z53" si="4">SUM(W45:Y45)</f>
        <v>3</v>
      </c>
      <c r="AA45" s="172">
        <f>IF(Z45=3,100,IF(Z45=2,70,IF(Z45=1,40,0)))</f>
        <v>100</v>
      </c>
      <c r="AB45" s="209">
        <f>IF('РСБУ отчетность'!$E$79&gt;=Подложка!AB35,1,0)</f>
        <v>1</v>
      </c>
      <c r="AC45" s="156">
        <f>IF('РСБУ отчетность'!$E$79&gt;=Подложка!AC35,1,0)</f>
        <v>1</v>
      </c>
      <c r="AD45" s="210">
        <f>IF('РСБУ отчетность'!$E$79&gt;=Подложка!AD35,1,0)</f>
        <v>1</v>
      </c>
      <c r="AE45" s="171">
        <f t="shared" ref="AE45:AE53" si="5">SUM(AB45:AD45)</f>
        <v>3</v>
      </c>
      <c r="AF45" s="172">
        <f>IF(AE45=3,100,IF(AE45=2,70,IF(AE45=1,40,0)))</f>
        <v>100</v>
      </c>
      <c r="AG45" s="209">
        <f>IF('РСБУ отчетность'!$E$79&gt;=Подложка!AG35,1,0)</f>
        <v>1</v>
      </c>
      <c r="AH45" s="156">
        <f>IF('РСБУ отчетность'!$E$79&gt;=Подложка!AH35,1,0)</f>
        <v>1</v>
      </c>
      <c r="AI45" s="210">
        <f>IF('РСБУ отчетность'!$E$79&gt;=Подложка!AI35,1,0)</f>
        <v>1</v>
      </c>
      <c r="AJ45" s="171">
        <f t="shared" ref="AJ45:AJ53" si="6">SUM(AG45:AI45)</f>
        <v>3</v>
      </c>
      <c r="AK45" s="172">
        <f>IF(AJ45=3,100,IF(AJ45=2,70,IF(AJ45=1,40,0)))</f>
        <v>100</v>
      </c>
      <c r="AL45" s="209">
        <f>IF('РСБУ отчетность'!$E$79&gt;=Подложка!AL35,1,0)</f>
        <v>1</v>
      </c>
      <c r="AM45" s="156">
        <f>IF('РСБУ отчетность'!$E$79&gt;=Подложка!AM35,1,0)</f>
        <v>1</v>
      </c>
      <c r="AN45" s="210">
        <f>IF('РСБУ отчетность'!$E$79&gt;=Подложка!AN35,1,0)</f>
        <v>0</v>
      </c>
      <c r="AO45" s="171">
        <f t="shared" ref="AO45:AO53" si="7">SUM(AL45:AN45)</f>
        <v>2</v>
      </c>
      <c r="AP45" s="172">
        <f>IF(AO45=3,100,IF(AO45=2,70,IF(AO45=1,40,0)))</f>
        <v>70</v>
      </c>
      <c r="AQ45" s="209">
        <f>IF('РСБУ отчетность'!$E$79&gt;=Подложка!AQ35,1,0)</f>
        <v>1</v>
      </c>
      <c r="AR45" s="156">
        <f>IF('РСБУ отчетность'!$E$79&gt;=Подложка!AR35,1,0)</f>
        <v>1</v>
      </c>
      <c r="AS45" s="210">
        <f>IF('РСБУ отчетность'!$E$79&gt;=Подложка!AS35,1,0)</f>
        <v>0</v>
      </c>
      <c r="AT45" s="171">
        <f t="shared" ref="AT45:AT53" si="8">SUM(AQ45:AS45)</f>
        <v>2</v>
      </c>
      <c r="AU45" s="172">
        <f>IF(AT45=3,100,IF(AT45=2,70,IF(AT45=1,40,0)))</f>
        <v>70</v>
      </c>
    </row>
    <row r="46" spans="1:47" ht="45" x14ac:dyDescent="0.25">
      <c r="A46" s="149" t="s">
        <v>176</v>
      </c>
      <c r="B46" s="151" t="s">
        <v>4</v>
      </c>
      <c r="C46" s="209">
        <f>IF('РСБУ отчетность'!$E$80&gt;=Подложка!C36,1,0)</f>
        <v>1</v>
      </c>
      <c r="D46" s="156">
        <f>IF('РСБУ отчетность'!$E$80&gt;=Подложка!D36,1,0)</f>
        <v>1</v>
      </c>
      <c r="E46" s="210">
        <f>IF('РСБУ отчетность'!$E$80&gt;=Подложка!E36,1,0)</f>
        <v>1</v>
      </c>
      <c r="F46" s="171">
        <f t="shared" si="0"/>
        <v>3</v>
      </c>
      <c r="G46" s="172">
        <f t="shared" ref="G46:G53" si="9">IF(F46=3,100,IF(F46=2,70,IF(F46=1,40,0)))</f>
        <v>100</v>
      </c>
      <c r="H46" s="209">
        <f>IF('РСБУ отчетность'!$E$80&gt;=Подложка!H36,1,0)</f>
        <v>1</v>
      </c>
      <c r="I46" s="156">
        <f>IF('РСБУ отчетность'!$E$80&gt;=Подложка!I36,1,0)</f>
        <v>1</v>
      </c>
      <c r="J46" s="210">
        <f>IF('РСБУ отчетность'!$E$80&gt;=Подложка!J36,1,0)</f>
        <v>1</v>
      </c>
      <c r="K46" s="171">
        <f t="shared" si="1"/>
        <v>3</v>
      </c>
      <c r="L46" s="172">
        <f t="shared" ref="L46:L53" si="10">IF(K46=3,100,IF(K46=2,70,IF(K46=1,40,0)))</f>
        <v>100</v>
      </c>
      <c r="M46" s="209">
        <f>IF('РСБУ отчетность'!$E$80&gt;=Подложка!M36,1,0)</f>
        <v>1</v>
      </c>
      <c r="N46" s="156">
        <f>IF('РСБУ отчетность'!$E$80&gt;=Подложка!N36,1,0)</f>
        <v>1</v>
      </c>
      <c r="O46" s="210">
        <f>IF('РСБУ отчетность'!$E$80&gt;=Подложка!O36,1,0)</f>
        <v>1</v>
      </c>
      <c r="P46" s="171">
        <f t="shared" si="2"/>
        <v>3</v>
      </c>
      <c r="Q46" s="172">
        <f t="shared" ref="Q46:Q53" si="11">IF(P46=3,100,IF(P46=2,70,IF(P46=1,40,0)))</f>
        <v>100</v>
      </c>
      <c r="R46" s="209">
        <f>IF('РСБУ отчетность'!$E$80&gt;=Подложка!R36,1,0)</f>
        <v>1</v>
      </c>
      <c r="S46" s="156">
        <f>IF('РСБУ отчетность'!$E$80&gt;=Подложка!S36,1,0)</f>
        <v>1</v>
      </c>
      <c r="T46" s="210">
        <f>IF('РСБУ отчетность'!$E$80&gt;=Подложка!T36,1,0)</f>
        <v>1</v>
      </c>
      <c r="U46" s="171">
        <f t="shared" si="3"/>
        <v>3</v>
      </c>
      <c r="V46" s="172">
        <f t="shared" ref="V46:V53" si="12">IF(U46=3,100,IF(U46=2,70,IF(U46=1,40,0)))</f>
        <v>100</v>
      </c>
      <c r="W46" s="209">
        <f>IF('РСБУ отчетность'!$E$80&gt;=Подложка!W36,1,0)</f>
        <v>1</v>
      </c>
      <c r="X46" s="156">
        <f>IF('РСБУ отчетность'!$E$80&gt;=Подложка!X36,1,0)</f>
        <v>1</v>
      </c>
      <c r="Y46" s="210">
        <f>IF('РСБУ отчетность'!$E$80&gt;=Подложка!Y36,1,0)</f>
        <v>1</v>
      </c>
      <c r="Z46" s="171">
        <f t="shared" si="4"/>
        <v>3</v>
      </c>
      <c r="AA46" s="172">
        <f t="shared" ref="AA46:AA53" si="13">IF(Z46=3,100,IF(Z46=2,70,IF(Z46=1,40,0)))</f>
        <v>100</v>
      </c>
      <c r="AB46" s="209">
        <f>IF('РСБУ отчетность'!$E$80&gt;=Подложка!AB36,1,0)</f>
        <v>1</v>
      </c>
      <c r="AC46" s="156">
        <f>IF('РСБУ отчетность'!$E$80&gt;=Подложка!AC36,1,0)</f>
        <v>1</v>
      </c>
      <c r="AD46" s="210">
        <f>IF('РСБУ отчетность'!$E$80&gt;=Подложка!AD36,1,0)</f>
        <v>0</v>
      </c>
      <c r="AE46" s="171">
        <f t="shared" si="5"/>
        <v>2</v>
      </c>
      <c r="AF46" s="172">
        <f t="shared" ref="AF46:AF53" si="14">IF(AE46=3,100,IF(AE46=2,70,IF(AE46=1,40,0)))</f>
        <v>70</v>
      </c>
      <c r="AG46" s="209">
        <f>IF('РСБУ отчетность'!$E$80&gt;=Подложка!AG36,1,0)</f>
        <v>1</v>
      </c>
      <c r="AH46" s="156">
        <f>IF('РСБУ отчетность'!$E$80&gt;=Подложка!AH36,1,0)</f>
        <v>1</v>
      </c>
      <c r="AI46" s="210">
        <f>IF('РСБУ отчетность'!$E$80&gt;=Подложка!AI36,1,0)</f>
        <v>0</v>
      </c>
      <c r="AJ46" s="171">
        <f t="shared" si="6"/>
        <v>2</v>
      </c>
      <c r="AK46" s="172">
        <f t="shared" ref="AK46:AK53" si="15">IF(AJ46=3,100,IF(AJ46=2,70,IF(AJ46=1,40,0)))</f>
        <v>70</v>
      </c>
      <c r="AL46" s="209">
        <f>IF('РСБУ отчетность'!$E$80&gt;=Подложка!AL36,1,0)</f>
        <v>1</v>
      </c>
      <c r="AM46" s="156">
        <f>IF('РСБУ отчетность'!$E$80&gt;=Подложка!AM36,1,0)</f>
        <v>1</v>
      </c>
      <c r="AN46" s="210">
        <f>IF('РСБУ отчетность'!$E$80&gt;=Подложка!AN36,1,0)</f>
        <v>0</v>
      </c>
      <c r="AO46" s="171">
        <f t="shared" si="7"/>
        <v>2</v>
      </c>
      <c r="AP46" s="172">
        <f t="shared" ref="AP46:AP53" si="16">IF(AO46=3,100,IF(AO46=2,70,IF(AO46=1,40,0)))</f>
        <v>70</v>
      </c>
      <c r="AQ46" s="209">
        <f>IF('РСБУ отчетность'!$E$80&gt;=Подложка!AQ36,1,0)</f>
        <v>1</v>
      </c>
      <c r="AR46" s="156">
        <f>IF('РСБУ отчетность'!$E$80&gt;=Подложка!AR36,1,0)</f>
        <v>1</v>
      </c>
      <c r="AS46" s="210">
        <f>IF('РСБУ отчетность'!$E$80&gt;=Подложка!AS36,1,0)</f>
        <v>0</v>
      </c>
      <c r="AT46" s="171">
        <f t="shared" si="8"/>
        <v>2</v>
      </c>
      <c r="AU46" s="172">
        <f t="shared" ref="AU46:AU53" si="17">IF(AT46=3,100,IF(AT46=2,70,IF(AT46=1,40,0)))</f>
        <v>70</v>
      </c>
    </row>
    <row r="47" spans="1:47" ht="45" x14ac:dyDescent="0.25">
      <c r="A47" s="149" t="s">
        <v>177</v>
      </c>
      <c r="B47" s="193" t="s">
        <v>343</v>
      </c>
      <c r="C47" s="209">
        <f>IF('РСБУ отчетность'!$E$81&lt;Подложка!C37,1,0)</f>
        <v>0</v>
      </c>
      <c r="D47" s="156">
        <f>IF('РСБУ отчетность'!$E$81&lt;=Подложка!D37,1,0)</f>
        <v>0</v>
      </c>
      <c r="E47" s="210">
        <f>IF('РСБУ отчетность'!$E$81&lt;Подложка!E37,1,0)</f>
        <v>0</v>
      </c>
      <c r="F47" s="171">
        <f t="shared" si="0"/>
        <v>0</v>
      </c>
      <c r="G47" s="172">
        <f t="shared" si="9"/>
        <v>0</v>
      </c>
      <c r="H47" s="209">
        <f>IF('РСБУ отчетность'!$E$81&lt;Подложка!H37,1,0)</f>
        <v>0</v>
      </c>
      <c r="I47" s="156">
        <f>IF('РСБУ отчетность'!$E$81&lt;=Подложка!I37,1,0)</f>
        <v>0</v>
      </c>
      <c r="J47" s="210">
        <f>IF('РСБУ отчетность'!$E$81&lt;Подложка!J37,1,0)</f>
        <v>0</v>
      </c>
      <c r="K47" s="171">
        <f t="shared" si="1"/>
        <v>0</v>
      </c>
      <c r="L47" s="172">
        <f t="shared" si="10"/>
        <v>0</v>
      </c>
      <c r="M47" s="209">
        <f>IF('РСБУ отчетность'!$E$81&lt;Подложка!M37,1,0)</f>
        <v>0</v>
      </c>
      <c r="N47" s="156">
        <f>IF('РСБУ отчетность'!$E$81&lt;=Подложка!N37,1,0)</f>
        <v>0</v>
      </c>
      <c r="O47" s="210">
        <f>IF('РСБУ отчетность'!$E$81&lt;Подложка!O37,1,0)</f>
        <v>0</v>
      </c>
      <c r="P47" s="171">
        <f t="shared" si="2"/>
        <v>0</v>
      </c>
      <c r="Q47" s="172">
        <f t="shared" si="11"/>
        <v>0</v>
      </c>
      <c r="R47" s="209">
        <f>IF('РСБУ отчетность'!$E$81&lt;Подложка!R37,1,0)</f>
        <v>0</v>
      </c>
      <c r="S47" s="156">
        <f>IF('РСБУ отчетность'!$E$81&lt;=Подложка!S37,1,0)</f>
        <v>0</v>
      </c>
      <c r="T47" s="210">
        <f>IF('РСБУ отчетность'!$E$81&lt;Подложка!T37,1,0)</f>
        <v>0</v>
      </c>
      <c r="U47" s="171">
        <f t="shared" si="3"/>
        <v>0</v>
      </c>
      <c r="V47" s="172">
        <f t="shared" si="12"/>
        <v>0</v>
      </c>
      <c r="W47" s="209">
        <f>IF('РСБУ отчетность'!$E$81&lt;Подложка!W37,1,0)</f>
        <v>0</v>
      </c>
      <c r="X47" s="156">
        <f>IF('РСБУ отчетность'!$E$81&lt;=Подложка!X37,1,0)</f>
        <v>0</v>
      </c>
      <c r="Y47" s="210">
        <f>IF('РСБУ отчетность'!$E$81&lt;Подложка!Y37,1,0)</f>
        <v>0</v>
      </c>
      <c r="Z47" s="171">
        <f t="shared" si="4"/>
        <v>0</v>
      </c>
      <c r="AA47" s="172">
        <f t="shared" si="13"/>
        <v>0</v>
      </c>
      <c r="AB47" s="209">
        <f>IF('РСБУ отчетность'!$E$81&lt;Подложка!AB37,1,0)</f>
        <v>0</v>
      </c>
      <c r="AC47" s="156">
        <f>IF('РСБУ отчетность'!$E$81&lt;=Подложка!AC37,1,0)</f>
        <v>0</v>
      </c>
      <c r="AD47" s="210">
        <f>IF('РСБУ отчетность'!$E$81&lt;Подложка!AD37,1,0)</f>
        <v>0</v>
      </c>
      <c r="AE47" s="171">
        <f t="shared" si="5"/>
        <v>0</v>
      </c>
      <c r="AF47" s="172">
        <f t="shared" si="14"/>
        <v>0</v>
      </c>
      <c r="AG47" s="209">
        <f>IF('РСБУ отчетность'!$E$81&lt;Подложка!AG37,1,0)</f>
        <v>0</v>
      </c>
      <c r="AH47" s="156">
        <f>IF('РСБУ отчетность'!$E$81&lt;=Подложка!AH37,1,0)</f>
        <v>0</v>
      </c>
      <c r="AI47" s="210">
        <f>IF('РСБУ отчетность'!$E$81&lt;Подложка!AI37,1,0)</f>
        <v>0</v>
      </c>
      <c r="AJ47" s="171">
        <f t="shared" si="6"/>
        <v>0</v>
      </c>
      <c r="AK47" s="172">
        <f t="shared" si="15"/>
        <v>0</v>
      </c>
      <c r="AL47" s="209">
        <f>IF('РСБУ отчетность'!$E$81&lt;Подложка!AL37,1,0)</f>
        <v>0</v>
      </c>
      <c r="AM47" s="156">
        <f>IF('РСБУ отчетность'!$E$81&lt;=Подложка!AM37,1,0)</f>
        <v>0</v>
      </c>
      <c r="AN47" s="210">
        <f>IF('РСБУ отчетность'!$E$81&lt;Подложка!AN37,1,0)</f>
        <v>0</v>
      </c>
      <c r="AO47" s="171">
        <f t="shared" si="7"/>
        <v>0</v>
      </c>
      <c r="AP47" s="172">
        <f t="shared" si="16"/>
        <v>0</v>
      </c>
      <c r="AQ47" s="209">
        <f>IF('РСБУ отчетность'!$E$81&lt;Подложка!AQ37,1,0)</f>
        <v>0</v>
      </c>
      <c r="AR47" s="156">
        <f>IF('РСБУ отчетность'!$E$81&lt;=Подложка!AR37,1,0)</f>
        <v>0</v>
      </c>
      <c r="AS47" s="210">
        <f>IF('РСБУ отчетность'!$E$81&lt;Подложка!AS37,1,0)</f>
        <v>0</v>
      </c>
      <c r="AT47" s="171">
        <f t="shared" si="8"/>
        <v>0</v>
      </c>
      <c r="AU47" s="172">
        <f t="shared" si="17"/>
        <v>0</v>
      </c>
    </row>
    <row r="48" spans="1:47" ht="30" x14ac:dyDescent="0.25">
      <c r="A48" s="149" t="s">
        <v>178</v>
      </c>
      <c r="B48" s="151" t="s">
        <v>252</v>
      </c>
      <c r="C48" s="209">
        <f>IF('РСБУ отчетность'!$E$82&gt;=Подложка!C38,1,0)</f>
        <v>1</v>
      </c>
      <c r="D48" s="156">
        <f>IF('РСБУ отчетность'!$E$82&gt;=Подложка!D38,1,0)</f>
        <v>1</v>
      </c>
      <c r="E48" s="210">
        <f>IF('РСБУ отчетность'!$E$82&gt;=Подложка!E38,1,0)</f>
        <v>1</v>
      </c>
      <c r="F48" s="171">
        <f t="shared" si="0"/>
        <v>3</v>
      </c>
      <c r="G48" s="172">
        <f t="shared" si="9"/>
        <v>100</v>
      </c>
      <c r="H48" s="209">
        <f>IF('РСБУ отчетность'!$E$82&gt;=Подложка!H38,1,0)</f>
        <v>1</v>
      </c>
      <c r="I48" s="156">
        <f>IF('РСБУ отчетность'!$E$82&gt;=Подложка!I38,1,0)</f>
        <v>1</v>
      </c>
      <c r="J48" s="210">
        <f>IF('РСБУ отчетность'!$E$82&gt;=Подложка!J38,1,0)</f>
        <v>1</v>
      </c>
      <c r="K48" s="171">
        <f t="shared" si="1"/>
        <v>3</v>
      </c>
      <c r="L48" s="172">
        <f t="shared" si="10"/>
        <v>100</v>
      </c>
      <c r="M48" s="209">
        <f>IF('РСБУ отчетность'!$E$82&gt;=Подложка!M38,1,0)</f>
        <v>1</v>
      </c>
      <c r="N48" s="156">
        <f>IF('РСБУ отчетность'!$E$82&gt;=Подложка!N38,1,0)</f>
        <v>1</v>
      </c>
      <c r="O48" s="210">
        <f>IF('РСБУ отчетность'!$E$82&gt;=Подложка!O38,1,0)</f>
        <v>1</v>
      </c>
      <c r="P48" s="171">
        <f t="shared" si="2"/>
        <v>3</v>
      </c>
      <c r="Q48" s="172">
        <f t="shared" si="11"/>
        <v>100</v>
      </c>
      <c r="R48" s="209">
        <f>IF('РСБУ отчетность'!$E$82&gt;=Подложка!R38,1,0)</f>
        <v>1</v>
      </c>
      <c r="S48" s="156">
        <f>IF('РСБУ отчетность'!$E$82&gt;=Подложка!S38,1,0)</f>
        <v>1</v>
      </c>
      <c r="T48" s="210">
        <f>IF('РСБУ отчетность'!$E$82&gt;=Подложка!T38,1,0)</f>
        <v>1</v>
      </c>
      <c r="U48" s="171">
        <f t="shared" si="3"/>
        <v>3</v>
      </c>
      <c r="V48" s="172">
        <f t="shared" si="12"/>
        <v>100</v>
      </c>
      <c r="W48" s="209">
        <f>IF('РСБУ отчетность'!$E$82&gt;=Подложка!W38,1,0)</f>
        <v>1</v>
      </c>
      <c r="X48" s="156">
        <f>IF('РСБУ отчетность'!$E$82&gt;=Подложка!X38,1,0)</f>
        <v>1</v>
      </c>
      <c r="Y48" s="210">
        <f>IF('РСБУ отчетность'!$E$82&gt;=Подложка!Y38,1,0)</f>
        <v>1</v>
      </c>
      <c r="Z48" s="171">
        <f t="shared" si="4"/>
        <v>3</v>
      </c>
      <c r="AA48" s="172">
        <f t="shared" si="13"/>
        <v>100</v>
      </c>
      <c r="AB48" s="209">
        <f>IF('РСБУ отчетность'!$E$82&gt;=Подложка!AB38,1,0)</f>
        <v>1</v>
      </c>
      <c r="AC48" s="156">
        <f>IF('РСБУ отчетность'!$E$82&gt;=Подложка!AC38,1,0)</f>
        <v>1</v>
      </c>
      <c r="AD48" s="210">
        <f>IF('РСБУ отчетность'!$E$82&gt;=Подложка!AD38,1,0)</f>
        <v>0</v>
      </c>
      <c r="AE48" s="171">
        <f t="shared" si="5"/>
        <v>2</v>
      </c>
      <c r="AF48" s="172">
        <f t="shared" si="14"/>
        <v>70</v>
      </c>
      <c r="AG48" s="209">
        <f>IF('РСБУ отчетность'!$E$82&gt;=Подложка!AG38,1,0)</f>
        <v>1</v>
      </c>
      <c r="AH48" s="156">
        <f>IF('РСБУ отчетность'!$E$82&gt;=Подложка!AH38,1,0)</f>
        <v>1</v>
      </c>
      <c r="AI48" s="210">
        <f>IF('РСБУ отчетность'!$E$82&gt;=Подложка!AI38,1,0)</f>
        <v>1</v>
      </c>
      <c r="AJ48" s="171">
        <f t="shared" si="6"/>
        <v>3</v>
      </c>
      <c r="AK48" s="172">
        <f t="shared" si="15"/>
        <v>100</v>
      </c>
      <c r="AL48" s="209">
        <f>IF('РСБУ отчетность'!$E$82&gt;=Подложка!AL38,1,0)</f>
        <v>1</v>
      </c>
      <c r="AM48" s="156">
        <f>IF('РСБУ отчетность'!$E$82&gt;=Подложка!AM38,1,0)</f>
        <v>1</v>
      </c>
      <c r="AN48" s="210">
        <f>IF('РСБУ отчетность'!$E$82&gt;=Подложка!AN38,1,0)</f>
        <v>0</v>
      </c>
      <c r="AO48" s="171">
        <f t="shared" si="7"/>
        <v>2</v>
      </c>
      <c r="AP48" s="172">
        <f t="shared" si="16"/>
        <v>70</v>
      </c>
      <c r="AQ48" s="209">
        <f>IF('РСБУ отчетность'!$E$82&gt;=Подложка!AQ38,1,0)</f>
        <v>1</v>
      </c>
      <c r="AR48" s="156">
        <f>IF('РСБУ отчетность'!$E$82&gt;=Подложка!AR38,1,0)</f>
        <v>1</v>
      </c>
      <c r="AS48" s="210">
        <f>IF('РСБУ отчетность'!$E$82&gt;=Подложка!AS38,1,0)</f>
        <v>0</v>
      </c>
      <c r="AT48" s="171">
        <f t="shared" si="8"/>
        <v>2</v>
      </c>
      <c r="AU48" s="172">
        <f t="shared" si="17"/>
        <v>70</v>
      </c>
    </row>
    <row r="49" spans="1:47" ht="30" x14ac:dyDescent="0.25">
      <c r="A49" s="149" t="s">
        <v>179</v>
      </c>
      <c r="B49" s="151" t="s">
        <v>41</v>
      </c>
      <c r="C49" s="209">
        <f>IF('РСБУ отчетность'!$E$83&gt;=Подложка!C39,1,0)</f>
        <v>1</v>
      </c>
      <c r="D49" s="156">
        <f>IF('РСБУ отчетность'!$E$83&gt;=Подложка!D39,1,0)</f>
        <v>1</v>
      </c>
      <c r="E49" s="210">
        <f>IF('РСБУ отчетность'!$E$83&gt;=Подложка!E39,1,0)</f>
        <v>0</v>
      </c>
      <c r="F49" s="171">
        <f t="shared" si="0"/>
        <v>2</v>
      </c>
      <c r="G49" s="172">
        <f t="shared" si="9"/>
        <v>70</v>
      </c>
      <c r="H49" s="209">
        <f>IF('РСБУ отчетность'!$E$83&gt;=Подложка!H39,1,0)</f>
        <v>1</v>
      </c>
      <c r="I49" s="156">
        <f>IF('РСБУ отчетность'!$E$83&gt;=Подложка!I39,1,0)</f>
        <v>1</v>
      </c>
      <c r="J49" s="210">
        <f>IF('РСБУ отчетность'!$E$83&gt;=Подложка!J39,1,0)</f>
        <v>0</v>
      </c>
      <c r="K49" s="171">
        <f t="shared" si="1"/>
        <v>2</v>
      </c>
      <c r="L49" s="172">
        <f t="shared" si="10"/>
        <v>70</v>
      </c>
      <c r="M49" s="209">
        <f>IF('РСБУ отчетность'!$E$83&gt;=Подложка!M39,1,0)</f>
        <v>1</v>
      </c>
      <c r="N49" s="156">
        <f>IF('РСБУ отчетность'!$E$83&gt;=Подложка!N39,1,0)</f>
        <v>1</v>
      </c>
      <c r="O49" s="210">
        <f>IF('РСБУ отчетность'!$E$83&gt;=Подложка!O39,1,0)</f>
        <v>0</v>
      </c>
      <c r="P49" s="171">
        <f t="shared" si="2"/>
        <v>2</v>
      </c>
      <c r="Q49" s="172">
        <f t="shared" si="11"/>
        <v>70</v>
      </c>
      <c r="R49" s="209">
        <f>IF('РСБУ отчетность'!$E$83&gt;=Подложка!R39,1,0)</f>
        <v>1</v>
      </c>
      <c r="S49" s="156">
        <f>IF('РСБУ отчетность'!$E$83&gt;=Подложка!S39,1,0)</f>
        <v>1</v>
      </c>
      <c r="T49" s="210">
        <f>IF('РСБУ отчетность'!$E$83&gt;=Подложка!T39,1,0)</f>
        <v>1</v>
      </c>
      <c r="U49" s="171">
        <f t="shared" si="3"/>
        <v>3</v>
      </c>
      <c r="V49" s="172">
        <f t="shared" si="12"/>
        <v>100</v>
      </c>
      <c r="W49" s="209">
        <f>IF('РСБУ отчетность'!$E$83&gt;=Подложка!W39,1,0)</f>
        <v>1</v>
      </c>
      <c r="X49" s="156">
        <f>IF('РСБУ отчетность'!$E$83&gt;=Подложка!X39,1,0)</f>
        <v>1</v>
      </c>
      <c r="Y49" s="210">
        <f>IF('РСБУ отчетность'!$E$83&gt;=Подложка!Y39,1,0)</f>
        <v>0</v>
      </c>
      <c r="Z49" s="171">
        <f t="shared" si="4"/>
        <v>2</v>
      </c>
      <c r="AA49" s="172">
        <f t="shared" si="13"/>
        <v>70</v>
      </c>
      <c r="AB49" s="209">
        <f>IF('РСБУ отчетность'!$E$83&gt;=Подложка!AB39,1,0)</f>
        <v>1</v>
      </c>
      <c r="AC49" s="156">
        <f>IF('РСБУ отчетность'!$E$83&gt;=Подложка!AC39,1,0)</f>
        <v>1</v>
      </c>
      <c r="AD49" s="210">
        <f>IF('РСБУ отчетность'!$E$83&gt;=Подложка!AD39,1,0)</f>
        <v>0</v>
      </c>
      <c r="AE49" s="171">
        <f t="shared" si="5"/>
        <v>2</v>
      </c>
      <c r="AF49" s="172">
        <f t="shared" si="14"/>
        <v>70</v>
      </c>
      <c r="AG49" s="209">
        <f>IF('РСБУ отчетность'!$E$83&gt;=Подложка!AG39,1,0)</f>
        <v>1</v>
      </c>
      <c r="AH49" s="156">
        <f>IF('РСБУ отчетность'!$E$83&gt;=Подложка!AH39,1,0)</f>
        <v>1</v>
      </c>
      <c r="AI49" s="210">
        <f>IF('РСБУ отчетность'!$E$83&gt;=Подложка!AI39,1,0)</f>
        <v>0</v>
      </c>
      <c r="AJ49" s="171">
        <f t="shared" si="6"/>
        <v>2</v>
      </c>
      <c r="AK49" s="172">
        <f t="shared" si="15"/>
        <v>70</v>
      </c>
      <c r="AL49" s="209">
        <f>IF('РСБУ отчетность'!$E$83&gt;=Подложка!AL39,1,0)</f>
        <v>1</v>
      </c>
      <c r="AM49" s="156">
        <f>IF('РСБУ отчетность'!$E$83&gt;=Подложка!AM39,1,0)</f>
        <v>1</v>
      </c>
      <c r="AN49" s="210">
        <f>IF('РСБУ отчетность'!$E$83&gt;=Подложка!AN39,1,0)</f>
        <v>0</v>
      </c>
      <c r="AO49" s="171">
        <f t="shared" si="7"/>
        <v>2</v>
      </c>
      <c r="AP49" s="172">
        <f t="shared" si="16"/>
        <v>70</v>
      </c>
      <c r="AQ49" s="209">
        <f>IF('РСБУ отчетность'!$E$83&gt;=Подложка!AQ39,1,0)</f>
        <v>1</v>
      </c>
      <c r="AR49" s="156">
        <f>IF('РСБУ отчетность'!$E$83&gt;=Подложка!AR39,1,0)</f>
        <v>0</v>
      </c>
      <c r="AS49" s="210">
        <f>IF('РСБУ отчетность'!$E$83&gt;=Подложка!AS39,1,0)</f>
        <v>0</v>
      </c>
      <c r="AT49" s="171">
        <f t="shared" si="8"/>
        <v>1</v>
      </c>
      <c r="AU49" s="172">
        <f t="shared" si="17"/>
        <v>40</v>
      </c>
    </row>
    <row r="50" spans="1:47" ht="30" x14ac:dyDescent="0.25">
      <c r="A50" s="149" t="s">
        <v>180</v>
      </c>
      <c r="B50" s="151" t="s">
        <v>235</v>
      </c>
      <c r="C50" s="209">
        <f>IF('РСБУ отчетность'!$E$84&lt;Подложка!C40,1,0)</f>
        <v>1</v>
      </c>
      <c r="D50" s="156">
        <f>IF('РСБУ отчетность'!$E$84&lt;Подложка!D40,1,0)</f>
        <v>0</v>
      </c>
      <c r="E50" s="210">
        <f>IF('РСБУ отчетность'!$E$84&lt;Подложка!E40,1,0)</f>
        <v>0</v>
      </c>
      <c r="F50" s="171">
        <f t="shared" si="0"/>
        <v>1</v>
      </c>
      <c r="G50" s="172">
        <f t="shared" si="9"/>
        <v>40</v>
      </c>
      <c r="H50" s="209">
        <f>IF('РСБУ отчетность'!$E$84&lt;Подложка!H40,1,0)</f>
        <v>1</v>
      </c>
      <c r="I50" s="156">
        <f>IF('РСБУ отчетность'!$E$84&lt;Подложка!I40,1,0)</f>
        <v>1</v>
      </c>
      <c r="J50" s="210">
        <f>IF('РСБУ отчетность'!$E$84&lt;Подложка!J40,1,0)</f>
        <v>0</v>
      </c>
      <c r="K50" s="171">
        <f t="shared" si="1"/>
        <v>2</v>
      </c>
      <c r="L50" s="172">
        <f t="shared" si="10"/>
        <v>70</v>
      </c>
      <c r="M50" s="209">
        <f>IF('РСБУ отчетность'!$E$84&lt;Подложка!M40,1,0)</f>
        <v>1</v>
      </c>
      <c r="N50" s="156">
        <f>IF('РСБУ отчетность'!$E$84&lt;Подложка!N40,1,0)</f>
        <v>1</v>
      </c>
      <c r="O50" s="210">
        <f>IF('РСБУ отчетность'!$E$84&lt;Подложка!O40,1,0)</f>
        <v>0</v>
      </c>
      <c r="P50" s="171">
        <f t="shared" si="2"/>
        <v>2</v>
      </c>
      <c r="Q50" s="172">
        <f t="shared" si="11"/>
        <v>70</v>
      </c>
      <c r="R50" s="209">
        <f>IF('РСБУ отчетность'!$E$84&lt;Подложка!R40,1,0)</f>
        <v>1</v>
      </c>
      <c r="S50" s="156">
        <f>IF('РСБУ отчетность'!$E$84&lt;Подложка!S40,1,0)</f>
        <v>1</v>
      </c>
      <c r="T50" s="210">
        <f>IF('РСБУ отчетность'!$E$84&lt;Подложка!T40,1,0)</f>
        <v>0</v>
      </c>
      <c r="U50" s="171">
        <f t="shared" si="3"/>
        <v>2</v>
      </c>
      <c r="V50" s="172">
        <f t="shared" si="12"/>
        <v>70</v>
      </c>
      <c r="W50" s="209">
        <f>IF('РСБУ отчетность'!$E$84&lt;Подложка!W40,1,0)</f>
        <v>1</v>
      </c>
      <c r="X50" s="156">
        <f>IF('РСБУ отчетность'!$E$84&lt;Подложка!X40,1,0)</f>
        <v>1</v>
      </c>
      <c r="Y50" s="210">
        <f>IF('РСБУ отчетность'!$E$84&lt;Подложка!Y40,1,0)</f>
        <v>0</v>
      </c>
      <c r="Z50" s="171">
        <f t="shared" si="4"/>
        <v>2</v>
      </c>
      <c r="AA50" s="172">
        <f t="shared" si="13"/>
        <v>70</v>
      </c>
      <c r="AB50" s="209">
        <f>IF('РСБУ отчетность'!$E$84&lt;Подложка!AB40,1,0)</f>
        <v>1</v>
      </c>
      <c r="AC50" s="156">
        <f>IF('РСБУ отчетность'!$E$84&lt;Подложка!AC40,1,0)</f>
        <v>0</v>
      </c>
      <c r="AD50" s="210">
        <f>IF('РСБУ отчетность'!$E$84&lt;Подложка!AD40,1,0)</f>
        <v>0</v>
      </c>
      <c r="AE50" s="171">
        <f t="shared" si="5"/>
        <v>1</v>
      </c>
      <c r="AF50" s="172">
        <f t="shared" si="14"/>
        <v>40</v>
      </c>
      <c r="AG50" s="209">
        <f>IF('РСБУ отчетность'!$E$84&lt;Подложка!AG40,1,0)</f>
        <v>1</v>
      </c>
      <c r="AH50" s="156">
        <f>IF('РСБУ отчетность'!$E$84&lt;Подложка!AH40,1,0)</f>
        <v>0</v>
      </c>
      <c r="AI50" s="210">
        <f>IF('РСБУ отчетность'!$E$84&lt;Подложка!AI40,1,0)</f>
        <v>0</v>
      </c>
      <c r="AJ50" s="171">
        <f t="shared" si="6"/>
        <v>1</v>
      </c>
      <c r="AK50" s="172">
        <f t="shared" si="15"/>
        <v>40</v>
      </c>
      <c r="AL50" s="209">
        <f>IF('РСБУ отчетность'!$E$84&lt;Подложка!AL40,1,0)</f>
        <v>1</v>
      </c>
      <c r="AM50" s="156">
        <f>IF('РСБУ отчетность'!$E$84&lt;Подложка!AM40,1,0)</f>
        <v>0</v>
      </c>
      <c r="AN50" s="210">
        <f>IF('РСБУ отчетность'!$E$84&lt;Подложка!AN40,1,0)</f>
        <v>0</v>
      </c>
      <c r="AO50" s="171">
        <f t="shared" si="7"/>
        <v>1</v>
      </c>
      <c r="AP50" s="172">
        <f t="shared" si="16"/>
        <v>40</v>
      </c>
      <c r="AQ50" s="209">
        <f>IF('РСБУ отчетность'!$E$84&lt;Подложка!AQ40,1,0)</f>
        <v>1</v>
      </c>
      <c r="AR50" s="156">
        <f>IF('РСБУ отчетность'!$E$84&lt;Подложка!AR40,1,0)</f>
        <v>0</v>
      </c>
      <c r="AS50" s="210">
        <f>IF('РСБУ отчетность'!$E$84&lt;Подложка!AS40,1,0)</f>
        <v>0</v>
      </c>
      <c r="AT50" s="171">
        <f t="shared" si="8"/>
        <v>1</v>
      </c>
      <c r="AU50" s="172">
        <f t="shared" si="17"/>
        <v>40</v>
      </c>
    </row>
    <row r="51" spans="1:47" ht="30" x14ac:dyDescent="0.25">
      <c r="A51" s="149" t="s">
        <v>250</v>
      </c>
      <c r="B51" s="151" t="s">
        <v>236</v>
      </c>
      <c r="C51" s="209">
        <f>IF('РСБУ отчетность'!$E$85&gt;=Подложка!C41,1,0)</f>
        <v>1</v>
      </c>
      <c r="D51" s="156">
        <f>IF('РСБУ отчетность'!$E$85&gt;=Подложка!D41,1,0)</f>
        <v>1</v>
      </c>
      <c r="E51" s="210">
        <f>IF('РСБУ отчетность'!$E$85&gt;=Подложка!E41,1,0)</f>
        <v>1</v>
      </c>
      <c r="F51" s="171">
        <f t="shared" si="0"/>
        <v>3</v>
      </c>
      <c r="G51" s="172">
        <f t="shared" si="9"/>
        <v>100</v>
      </c>
      <c r="H51" s="209">
        <f>IF('РСБУ отчетность'!$E$85&gt;=Подложка!H41,1,0)</f>
        <v>1</v>
      </c>
      <c r="I51" s="156">
        <f>IF('РСБУ отчетность'!$E$85&gt;=Подложка!I41,1,0)</f>
        <v>1</v>
      </c>
      <c r="J51" s="210">
        <f>IF('РСБУ отчетность'!$E$85&gt;=Подложка!J41,1,0)</f>
        <v>1</v>
      </c>
      <c r="K51" s="171">
        <f t="shared" si="1"/>
        <v>3</v>
      </c>
      <c r="L51" s="172">
        <f t="shared" si="10"/>
        <v>100</v>
      </c>
      <c r="M51" s="209">
        <f>IF('РСБУ отчетность'!$E$85&gt;=Подложка!M41,1,0)</f>
        <v>1</v>
      </c>
      <c r="N51" s="156">
        <f>IF('РСБУ отчетность'!$E$85&gt;=Подложка!N41,1,0)</f>
        <v>1</v>
      </c>
      <c r="O51" s="210">
        <f>IF('РСБУ отчетность'!$E$85&gt;=Подложка!O41,1,0)</f>
        <v>1</v>
      </c>
      <c r="P51" s="171">
        <f t="shared" si="2"/>
        <v>3</v>
      </c>
      <c r="Q51" s="172">
        <f t="shared" si="11"/>
        <v>100</v>
      </c>
      <c r="R51" s="209">
        <f>IF('РСБУ отчетность'!$E$85&gt;=Подложка!R41,1,0)</f>
        <v>1</v>
      </c>
      <c r="S51" s="156">
        <f>IF('РСБУ отчетность'!$E$85&gt;=Подложка!S41,1,0)</f>
        <v>1</v>
      </c>
      <c r="T51" s="210">
        <f>IF('РСБУ отчетность'!$E$85&gt;=Подложка!T41,1,0)</f>
        <v>1</v>
      </c>
      <c r="U51" s="171">
        <f t="shared" si="3"/>
        <v>3</v>
      </c>
      <c r="V51" s="172">
        <f t="shared" si="12"/>
        <v>100</v>
      </c>
      <c r="W51" s="209">
        <f>IF('РСБУ отчетность'!$E$85&gt;=Подложка!W41,1,0)</f>
        <v>1</v>
      </c>
      <c r="X51" s="156">
        <f>IF('РСБУ отчетность'!$E$85&gt;=Подложка!X41,1,0)</f>
        <v>1</v>
      </c>
      <c r="Y51" s="210">
        <f>IF('РСБУ отчетность'!$E$85&gt;=Подложка!Y41,1,0)</f>
        <v>1</v>
      </c>
      <c r="Z51" s="171">
        <f t="shared" si="4"/>
        <v>3</v>
      </c>
      <c r="AA51" s="172">
        <f t="shared" si="13"/>
        <v>100</v>
      </c>
      <c r="AB51" s="209">
        <f>IF('РСБУ отчетность'!$E$85&gt;=Подложка!AB41,1,0)</f>
        <v>1</v>
      </c>
      <c r="AC51" s="156">
        <f>IF('РСБУ отчетность'!$E$85&gt;=Подложка!AC41,1,0)</f>
        <v>1</v>
      </c>
      <c r="AD51" s="210">
        <f>IF('РСБУ отчетность'!$E$85&gt;=Подложка!AD41,1,0)</f>
        <v>1</v>
      </c>
      <c r="AE51" s="171">
        <f t="shared" si="5"/>
        <v>3</v>
      </c>
      <c r="AF51" s="172">
        <f t="shared" si="14"/>
        <v>100</v>
      </c>
      <c r="AG51" s="209">
        <f>IF('РСБУ отчетность'!$E$85&gt;=Подложка!AG41,1,0)</f>
        <v>1</v>
      </c>
      <c r="AH51" s="156">
        <f>IF('РСБУ отчетность'!$E$85&gt;=Подложка!AH41,1,0)</f>
        <v>1</v>
      </c>
      <c r="AI51" s="210">
        <f>IF('РСБУ отчетность'!$E$85&gt;=Подложка!AI41,1,0)</f>
        <v>1</v>
      </c>
      <c r="AJ51" s="171">
        <f t="shared" si="6"/>
        <v>3</v>
      </c>
      <c r="AK51" s="172">
        <f t="shared" si="15"/>
        <v>100</v>
      </c>
      <c r="AL51" s="209">
        <f>IF('РСБУ отчетность'!$E$85&gt;=Подложка!AL41,1,0)</f>
        <v>1</v>
      </c>
      <c r="AM51" s="156">
        <f>IF('РСБУ отчетность'!$E$85&gt;=Подложка!AM41,1,0)</f>
        <v>1</v>
      </c>
      <c r="AN51" s="210">
        <f>IF('РСБУ отчетность'!$E$85&gt;=Подложка!AN41,1,0)</f>
        <v>1</v>
      </c>
      <c r="AO51" s="171">
        <f t="shared" si="7"/>
        <v>3</v>
      </c>
      <c r="AP51" s="172">
        <f t="shared" si="16"/>
        <v>100</v>
      </c>
      <c r="AQ51" s="209">
        <f>IF('РСБУ отчетность'!$E$85&gt;=Подложка!AQ41,1,0)</f>
        <v>1</v>
      </c>
      <c r="AR51" s="156">
        <f>IF('РСБУ отчетность'!$E$85&gt;=Подложка!AR41,1,0)</f>
        <v>1</v>
      </c>
      <c r="AS51" s="210">
        <f>IF('РСБУ отчетность'!$E$85&gt;=Подложка!AS41,1,0)</f>
        <v>1</v>
      </c>
      <c r="AT51" s="171">
        <f t="shared" si="8"/>
        <v>3</v>
      </c>
      <c r="AU51" s="172">
        <f t="shared" si="17"/>
        <v>100</v>
      </c>
    </row>
    <row r="52" spans="1:47" ht="30" x14ac:dyDescent="0.25">
      <c r="A52" s="149" t="s">
        <v>181</v>
      </c>
      <c r="B52" s="151" t="s">
        <v>253</v>
      </c>
      <c r="C52" s="209">
        <f>IF('РСБУ отчетность'!$E$86&gt;=Подложка!C42,1,0)</f>
        <v>1</v>
      </c>
      <c r="D52" s="156">
        <f>IF('РСБУ отчетность'!$E$86&gt;=Подложка!D42,1,0)</f>
        <v>1</v>
      </c>
      <c r="E52" s="210">
        <f>IF('РСБУ отчетность'!$E$86&gt;=Подложка!E42,1,0)</f>
        <v>1</v>
      </c>
      <c r="F52" s="171">
        <f t="shared" si="0"/>
        <v>3</v>
      </c>
      <c r="G52" s="172">
        <f t="shared" si="9"/>
        <v>100</v>
      </c>
      <c r="H52" s="209">
        <f>IF('РСБУ отчетность'!$E$86&gt;=Подложка!H42,1,0)</f>
        <v>1</v>
      </c>
      <c r="I52" s="156">
        <f>IF('РСБУ отчетность'!$E$86&gt;=Подложка!I42,1,0)</f>
        <v>1</v>
      </c>
      <c r="J52" s="210">
        <f>IF('РСБУ отчетность'!$E$86&gt;=Подложка!J42,1,0)</f>
        <v>1</v>
      </c>
      <c r="K52" s="171">
        <f t="shared" si="1"/>
        <v>3</v>
      </c>
      <c r="L52" s="172">
        <f t="shared" si="10"/>
        <v>100</v>
      </c>
      <c r="M52" s="209">
        <f>IF('РСБУ отчетность'!$E$86&gt;=Подложка!M42,1,0)</f>
        <v>1</v>
      </c>
      <c r="N52" s="156">
        <f>IF('РСБУ отчетность'!$E$86&gt;=Подложка!N42,1,0)</f>
        <v>1</v>
      </c>
      <c r="O52" s="210">
        <f>IF('РСБУ отчетность'!$E$86&gt;=Подложка!O42,1,0)</f>
        <v>1</v>
      </c>
      <c r="P52" s="171">
        <f t="shared" si="2"/>
        <v>3</v>
      </c>
      <c r="Q52" s="172">
        <f t="shared" si="11"/>
        <v>100</v>
      </c>
      <c r="R52" s="209">
        <f>IF('РСБУ отчетность'!$E$86&gt;=Подложка!R42,1,0)</f>
        <v>1</v>
      </c>
      <c r="S52" s="156">
        <f>IF('РСБУ отчетность'!$E$86&gt;=Подложка!S42,1,0)</f>
        <v>1</v>
      </c>
      <c r="T52" s="210">
        <f>IF('РСБУ отчетность'!$E$86&gt;=Подложка!T42,1,0)</f>
        <v>1</v>
      </c>
      <c r="U52" s="171">
        <f t="shared" si="3"/>
        <v>3</v>
      </c>
      <c r="V52" s="172">
        <f t="shared" si="12"/>
        <v>100</v>
      </c>
      <c r="W52" s="209">
        <f>IF('РСБУ отчетность'!$E$86&gt;=Подложка!W42,1,0)</f>
        <v>1</v>
      </c>
      <c r="X52" s="156">
        <f>IF('РСБУ отчетность'!$E$86&gt;=Подложка!X42,1,0)</f>
        <v>1</v>
      </c>
      <c r="Y52" s="210">
        <f>IF('РСБУ отчетность'!$E$86&gt;=Подложка!Y42,1,0)</f>
        <v>1</v>
      </c>
      <c r="Z52" s="171">
        <f t="shared" si="4"/>
        <v>3</v>
      </c>
      <c r="AA52" s="172">
        <f t="shared" si="13"/>
        <v>100</v>
      </c>
      <c r="AB52" s="209">
        <f>IF('РСБУ отчетность'!$E$86&gt;=Подложка!AB42,1,0)</f>
        <v>1</v>
      </c>
      <c r="AC52" s="156">
        <f>IF('РСБУ отчетность'!$E$86&gt;=Подложка!AC42,1,0)</f>
        <v>1</v>
      </c>
      <c r="AD52" s="210">
        <f>IF('РСБУ отчетность'!$E$86&gt;=Подложка!AD42,1,0)</f>
        <v>1</v>
      </c>
      <c r="AE52" s="171">
        <f t="shared" si="5"/>
        <v>3</v>
      </c>
      <c r="AF52" s="172">
        <f t="shared" si="14"/>
        <v>100</v>
      </c>
      <c r="AG52" s="209">
        <f>IF('РСБУ отчетность'!$E$86&gt;=Подложка!AG42,1,0)</f>
        <v>1</v>
      </c>
      <c r="AH52" s="156">
        <f>IF('РСБУ отчетность'!$E$86&gt;=Подложка!AH42,1,0)</f>
        <v>1</v>
      </c>
      <c r="AI52" s="210">
        <f>IF('РСБУ отчетность'!$E$86&gt;=Подложка!AI42,1,0)</f>
        <v>1</v>
      </c>
      <c r="AJ52" s="171">
        <f t="shared" si="6"/>
        <v>3</v>
      </c>
      <c r="AK52" s="172">
        <f t="shared" si="15"/>
        <v>100</v>
      </c>
      <c r="AL52" s="209">
        <f>IF('РСБУ отчетность'!$E$86&gt;=Подложка!AL42,1,0)</f>
        <v>1</v>
      </c>
      <c r="AM52" s="156">
        <f>IF('РСБУ отчетность'!$E$86&gt;=Подложка!AM42,1,0)</f>
        <v>1</v>
      </c>
      <c r="AN52" s="210">
        <f>IF('РСБУ отчетность'!$E$86&gt;=Подложка!AN42,1,0)</f>
        <v>0</v>
      </c>
      <c r="AO52" s="171">
        <f t="shared" si="7"/>
        <v>2</v>
      </c>
      <c r="AP52" s="172">
        <f t="shared" si="16"/>
        <v>70</v>
      </c>
      <c r="AQ52" s="209">
        <f>IF('РСБУ отчетность'!$E$86&gt;=Подложка!AQ42,1,0)</f>
        <v>1</v>
      </c>
      <c r="AR52" s="156">
        <f>IF('РСБУ отчетность'!$E$86&gt;=Подложка!AR42,1,0)</f>
        <v>1</v>
      </c>
      <c r="AS52" s="210">
        <f>IF('РСБУ отчетность'!$E$86&gt;=Подложка!AS42,1,0)</f>
        <v>0</v>
      </c>
      <c r="AT52" s="171">
        <f t="shared" si="8"/>
        <v>2</v>
      </c>
      <c r="AU52" s="172">
        <f t="shared" si="17"/>
        <v>70</v>
      </c>
    </row>
    <row r="53" spans="1:47" ht="30" x14ac:dyDescent="0.25">
      <c r="A53" s="149" t="s">
        <v>251</v>
      </c>
      <c r="B53" s="151" t="s">
        <v>254</v>
      </c>
      <c r="C53" s="209">
        <f>IF('РСБУ отчетность'!$E$87&gt;=Подложка!C43,1,0)</f>
        <v>1</v>
      </c>
      <c r="D53" s="156">
        <f>IF('РСБУ отчетность'!$E$87&gt;=Подложка!D43,1,0)</f>
        <v>1</v>
      </c>
      <c r="E53" s="210">
        <f>IF('РСБУ отчетность'!$E$87&gt;=Подложка!E43,1,0)</f>
        <v>0</v>
      </c>
      <c r="F53" s="171">
        <f t="shared" si="0"/>
        <v>2</v>
      </c>
      <c r="G53" s="172">
        <f t="shared" si="9"/>
        <v>70</v>
      </c>
      <c r="H53" s="209">
        <f>IF('РСБУ отчетность'!$E$87&gt;=Подложка!H43,1,0)</f>
        <v>1</v>
      </c>
      <c r="I53" s="156">
        <f>IF('РСБУ отчетность'!$E$87&gt;=Подложка!I43,1,0)</f>
        <v>1</v>
      </c>
      <c r="J53" s="210">
        <f>IF('РСБУ отчетность'!$E$87&gt;=Подложка!J43,1,0)</f>
        <v>1</v>
      </c>
      <c r="K53" s="171">
        <f t="shared" si="1"/>
        <v>3</v>
      </c>
      <c r="L53" s="172">
        <f t="shared" si="10"/>
        <v>100</v>
      </c>
      <c r="M53" s="209">
        <f>IF('РСБУ отчетность'!$E$87&gt;=Подложка!M43,1,0)</f>
        <v>1</v>
      </c>
      <c r="N53" s="156">
        <f>IF('РСБУ отчетность'!$E$87&gt;=Подложка!N43,1,0)</f>
        <v>1</v>
      </c>
      <c r="O53" s="210">
        <f>IF('РСБУ отчетность'!$E$87&gt;=Подложка!O43,1,0)</f>
        <v>0</v>
      </c>
      <c r="P53" s="171">
        <f t="shared" si="2"/>
        <v>2</v>
      </c>
      <c r="Q53" s="172">
        <f t="shared" si="11"/>
        <v>70</v>
      </c>
      <c r="R53" s="209">
        <f>IF('РСБУ отчетность'!$E$87&gt;=Подложка!R43,1,0)</f>
        <v>1</v>
      </c>
      <c r="S53" s="156">
        <f>IF('РСБУ отчетность'!$E$87&gt;=Подложка!S43,1,0)</f>
        <v>1</v>
      </c>
      <c r="T53" s="210">
        <f>IF('РСБУ отчетность'!$E$87&gt;=Подложка!T43,1,0)</f>
        <v>0</v>
      </c>
      <c r="U53" s="171">
        <f t="shared" si="3"/>
        <v>2</v>
      </c>
      <c r="V53" s="172">
        <f t="shared" si="12"/>
        <v>70</v>
      </c>
      <c r="W53" s="209">
        <f>IF('РСБУ отчетность'!$E$87&gt;=Подложка!W43,1,0)</f>
        <v>1</v>
      </c>
      <c r="X53" s="156">
        <f>IF('РСБУ отчетность'!$E$87&gt;=Подложка!X43,1,0)</f>
        <v>1</v>
      </c>
      <c r="Y53" s="210">
        <f>IF('РСБУ отчетность'!$E$87&gt;=Подложка!Y43,1,0)</f>
        <v>0</v>
      </c>
      <c r="Z53" s="171">
        <f t="shared" si="4"/>
        <v>2</v>
      </c>
      <c r="AA53" s="172">
        <f t="shared" si="13"/>
        <v>70</v>
      </c>
      <c r="AB53" s="209">
        <f>IF('РСБУ отчетность'!$E$87&gt;=Подложка!AB43,1,0)</f>
        <v>1</v>
      </c>
      <c r="AC53" s="156">
        <f>IF('РСБУ отчетность'!$E$87&gt;=Подложка!AC43,1,0)</f>
        <v>1</v>
      </c>
      <c r="AD53" s="210">
        <f>IF('РСБУ отчетность'!$E$87&gt;=Подложка!AD43,1,0)</f>
        <v>0</v>
      </c>
      <c r="AE53" s="171">
        <f t="shared" si="5"/>
        <v>2</v>
      </c>
      <c r="AF53" s="172">
        <f t="shared" si="14"/>
        <v>70</v>
      </c>
      <c r="AG53" s="209">
        <f>IF('РСБУ отчетность'!$E$87&gt;=Подложка!AG43,1,0)</f>
        <v>1</v>
      </c>
      <c r="AH53" s="156">
        <f>IF('РСБУ отчетность'!$E$87&gt;=Подложка!AH43,1,0)</f>
        <v>1</v>
      </c>
      <c r="AI53" s="210">
        <f>IF('РСБУ отчетность'!$E$87&gt;=Подложка!AI43,1,0)</f>
        <v>0</v>
      </c>
      <c r="AJ53" s="171">
        <f t="shared" si="6"/>
        <v>2</v>
      </c>
      <c r="AK53" s="172">
        <f t="shared" si="15"/>
        <v>70</v>
      </c>
      <c r="AL53" s="209">
        <f>IF('РСБУ отчетность'!$E$87&gt;=Подложка!AL43,1,0)</f>
        <v>1</v>
      </c>
      <c r="AM53" s="156">
        <f>IF('РСБУ отчетность'!$E$87&gt;=Подложка!AM43,1,0)</f>
        <v>1</v>
      </c>
      <c r="AN53" s="210">
        <f>IF('РСБУ отчетность'!$E$87&gt;=Подложка!AN43,1,0)</f>
        <v>0</v>
      </c>
      <c r="AO53" s="171">
        <f t="shared" si="7"/>
        <v>2</v>
      </c>
      <c r="AP53" s="172">
        <f t="shared" si="16"/>
        <v>70</v>
      </c>
      <c r="AQ53" s="209">
        <f>IF('РСБУ отчетность'!$E$87&gt;=Подложка!AQ43,1,0)</f>
        <v>1</v>
      </c>
      <c r="AR53" s="156">
        <f>IF('РСБУ отчетность'!$E$87&gt;=Подложка!AR43,1,0)</f>
        <v>1</v>
      </c>
      <c r="AS53" s="210">
        <f>IF('РСБУ отчетность'!$E$87&gt;=Подложка!AS43,1,0)</f>
        <v>0</v>
      </c>
      <c r="AT53" s="171">
        <f t="shared" si="8"/>
        <v>2</v>
      </c>
      <c r="AU53" s="172">
        <f t="shared" si="17"/>
        <v>70</v>
      </c>
    </row>
    <row r="54" spans="1:47" x14ac:dyDescent="0.25">
      <c r="A54" s="166" t="s">
        <v>192</v>
      </c>
      <c r="C54" s="164"/>
      <c r="D54" s="58"/>
      <c r="E54" s="58"/>
      <c r="F54" s="169" t="s">
        <v>185</v>
      </c>
      <c r="G54" s="170" t="s">
        <v>186</v>
      </c>
      <c r="H54" s="164"/>
      <c r="I54" s="58"/>
      <c r="J54" s="58"/>
      <c r="K54" s="169" t="s">
        <v>185</v>
      </c>
      <c r="L54" s="170" t="s">
        <v>186</v>
      </c>
      <c r="M54" s="164"/>
      <c r="N54" s="58"/>
      <c r="O54" s="58"/>
      <c r="P54" s="169" t="s">
        <v>185</v>
      </c>
      <c r="Q54" s="170" t="s">
        <v>186</v>
      </c>
      <c r="R54" s="164"/>
      <c r="S54" s="58"/>
      <c r="T54" s="58"/>
      <c r="U54" s="169" t="s">
        <v>185</v>
      </c>
      <c r="V54" s="170" t="s">
        <v>186</v>
      </c>
      <c r="W54" s="164"/>
      <c r="X54" s="58"/>
      <c r="Y54" s="58"/>
      <c r="Z54" s="169" t="s">
        <v>185</v>
      </c>
      <c r="AA54" s="170" t="s">
        <v>186</v>
      </c>
      <c r="AB54" s="164"/>
      <c r="AC54" s="58"/>
      <c r="AD54" s="58"/>
      <c r="AE54" s="169" t="s">
        <v>185</v>
      </c>
      <c r="AF54" s="170" t="s">
        <v>186</v>
      </c>
      <c r="AG54" s="164"/>
      <c r="AH54" s="58"/>
      <c r="AI54" s="58"/>
      <c r="AJ54" s="169" t="s">
        <v>185</v>
      </c>
      <c r="AK54" s="170" t="s">
        <v>186</v>
      </c>
      <c r="AL54" s="164"/>
      <c r="AM54" s="58"/>
      <c r="AN54" s="58"/>
      <c r="AO54" s="169" t="s">
        <v>185</v>
      </c>
      <c r="AP54" s="170" t="s">
        <v>186</v>
      </c>
      <c r="AQ54" s="164"/>
      <c r="AR54" s="58"/>
      <c r="AS54" s="58"/>
      <c r="AT54" s="169" t="s">
        <v>185</v>
      </c>
      <c r="AU54" s="170" t="s">
        <v>186</v>
      </c>
    </row>
    <row r="55" spans="1:47" ht="45" x14ac:dyDescent="0.25">
      <c r="A55" s="149" t="s">
        <v>175</v>
      </c>
      <c r="B55" s="151" t="s">
        <v>234</v>
      </c>
      <c r="C55" s="209">
        <f>IF('РСБУ отчетность'!$F$79&gt;=Подложка!C35,1,0)</f>
        <v>1</v>
      </c>
      <c r="D55" s="156">
        <f>IF('РСБУ отчетность'!$F$79&gt;=Подложка!D35,1,0)</f>
        <v>1</v>
      </c>
      <c r="E55" s="210">
        <f>IF('РСБУ отчетность'!$F$79&gt;=Подложка!E35,1,0)</f>
        <v>1</v>
      </c>
      <c r="F55" s="171">
        <f t="shared" ref="F55:F63" si="18">SUM(C55:E55)</f>
        <v>3</v>
      </c>
      <c r="G55" s="172">
        <f>IF(F55=3,100,IF(F55=2,70,IF(F55=1,40,0)))</f>
        <v>100</v>
      </c>
      <c r="H55" s="209">
        <f>IF('РСБУ отчетность'!$F$79&gt;=Подложка!H35,1,0)</f>
        <v>1</v>
      </c>
      <c r="I55" s="156">
        <f>IF('РСБУ отчетность'!$F$79&gt;=Подложка!I35,1,0)</f>
        <v>1</v>
      </c>
      <c r="J55" s="210">
        <f>IF('РСБУ отчетность'!$F$79&gt;=Подложка!J35,1,0)</f>
        <v>1</v>
      </c>
      <c r="K55" s="171">
        <f t="shared" ref="K55:K63" si="19">SUM(H55:J55)</f>
        <v>3</v>
      </c>
      <c r="L55" s="172">
        <f>IF(K55=3,100,IF(K55=2,70,IF(K55=1,40,0)))</f>
        <v>100</v>
      </c>
      <c r="M55" s="209">
        <f>IF('РСБУ отчетность'!$F$79&gt;=Подложка!M35,1,0)</f>
        <v>1</v>
      </c>
      <c r="N55" s="156">
        <f>IF('РСБУ отчетность'!$F$79&gt;=Подложка!N35,1,0)</f>
        <v>1</v>
      </c>
      <c r="O55" s="210">
        <f>IF('РСБУ отчетность'!$F$79&gt;=Подложка!O35,1,0)</f>
        <v>1</v>
      </c>
      <c r="P55" s="171">
        <f t="shared" ref="P55:P63" si="20">SUM(M55:O55)</f>
        <v>3</v>
      </c>
      <c r="Q55" s="172">
        <f>IF(P55=3,100,IF(P55=2,70,IF(P55=1,40,0)))</f>
        <v>100</v>
      </c>
      <c r="R55" s="209">
        <f>IF('РСБУ отчетность'!$F$79&gt;=Подложка!R35,1,0)</f>
        <v>1</v>
      </c>
      <c r="S55" s="156">
        <f>IF('РСБУ отчетность'!$F$79&gt;=Подложка!S35,1,0)</f>
        <v>1</v>
      </c>
      <c r="T55" s="210">
        <f>IF('РСБУ отчетность'!$F$79&gt;=Подложка!T35,1,0)</f>
        <v>1</v>
      </c>
      <c r="U55" s="171">
        <f t="shared" ref="U55:U63" si="21">SUM(R55:T55)</f>
        <v>3</v>
      </c>
      <c r="V55" s="172">
        <f>IF(U55=3,100,IF(U55=2,70,IF(U55=1,40,0)))</f>
        <v>100</v>
      </c>
      <c r="W55" s="209">
        <f>IF('РСБУ отчетность'!$F$79&gt;=Подложка!W35,1,0)</f>
        <v>1</v>
      </c>
      <c r="X55" s="156">
        <f>IF('РСБУ отчетность'!$F$79&gt;=Подложка!X35,1,0)</f>
        <v>1</v>
      </c>
      <c r="Y55" s="210">
        <f>IF('РСБУ отчетность'!$F$79&gt;=Подложка!Y35,1,0)</f>
        <v>1</v>
      </c>
      <c r="Z55" s="171">
        <f t="shared" ref="Z55:Z63" si="22">SUM(W55:Y55)</f>
        <v>3</v>
      </c>
      <c r="AA55" s="172">
        <f>IF(Z55=3,100,IF(Z55=2,70,IF(Z55=1,40,0)))</f>
        <v>100</v>
      </c>
      <c r="AB55" s="209">
        <f>IF('РСБУ отчетность'!$F$79&gt;=Подложка!AB35,1,0)</f>
        <v>1</v>
      </c>
      <c r="AC55" s="156">
        <f>IF('РСБУ отчетность'!$F$79&gt;=Подложка!AC35,1,0)</f>
        <v>1</v>
      </c>
      <c r="AD55" s="210">
        <f>IF('РСБУ отчетность'!$F$79&gt;=Подложка!AD35,1,0)</f>
        <v>0</v>
      </c>
      <c r="AE55" s="171">
        <f t="shared" ref="AE55:AE63" si="23">SUM(AB55:AD55)</f>
        <v>2</v>
      </c>
      <c r="AF55" s="172">
        <f>IF(AE55=3,100,IF(AE55=2,70,IF(AE55=1,40,0)))</f>
        <v>70</v>
      </c>
      <c r="AG55" s="209">
        <f>IF('РСБУ отчетность'!$F$79&gt;=Подложка!AG35,1,0)</f>
        <v>1</v>
      </c>
      <c r="AH55" s="156">
        <f>IF('РСБУ отчетность'!$F$79&gt;=Подложка!AH35,1,0)</f>
        <v>1</v>
      </c>
      <c r="AI55" s="210">
        <f>IF('РСБУ отчетность'!$F$79&gt;=Подложка!AI35,1,0)</f>
        <v>1</v>
      </c>
      <c r="AJ55" s="171">
        <f t="shared" ref="AJ55:AJ63" si="24">SUM(AG55:AI55)</f>
        <v>3</v>
      </c>
      <c r="AK55" s="172">
        <f>IF(AJ55=3,100,IF(AJ55=2,70,IF(AJ55=1,40,0)))</f>
        <v>100</v>
      </c>
      <c r="AL55" s="209">
        <f>IF('РСБУ отчетность'!$F$79&gt;=Подложка!AL35,1,0)</f>
        <v>1</v>
      </c>
      <c r="AM55" s="156">
        <f>IF('РСБУ отчетность'!$F$79&gt;=Подложка!AM35,1,0)</f>
        <v>1</v>
      </c>
      <c r="AN55" s="210">
        <f>IF('РСБУ отчетность'!$F$79&gt;=Подложка!AN35,1,0)</f>
        <v>0</v>
      </c>
      <c r="AO55" s="171">
        <f t="shared" ref="AO55:AO63" si="25">SUM(AL55:AN55)</f>
        <v>2</v>
      </c>
      <c r="AP55" s="172">
        <f>IF(AO55=3,100,IF(AO55=2,70,IF(AO55=1,40,0)))</f>
        <v>70</v>
      </c>
      <c r="AQ55" s="209">
        <f>IF('РСБУ отчетность'!$F$79&gt;=Подложка!AQ35,1,0)</f>
        <v>1</v>
      </c>
      <c r="AR55" s="156">
        <f>IF('РСБУ отчетность'!$F$79&gt;=Подложка!AR35,1,0)</f>
        <v>1</v>
      </c>
      <c r="AS55" s="210">
        <f>IF('РСБУ отчетность'!$F$79&gt;=Подложка!AS35,1,0)</f>
        <v>0</v>
      </c>
      <c r="AT55" s="171">
        <f t="shared" ref="AT55:AT60" si="26">SUM(AQ55:AS55)</f>
        <v>2</v>
      </c>
      <c r="AU55" s="172">
        <f t="shared" ref="AU55:AU63" si="27">IF(AT55=3,100,IF(AT55=2,70,IF(AT55=1,40,0)))</f>
        <v>70</v>
      </c>
    </row>
    <row r="56" spans="1:47" ht="45" x14ac:dyDescent="0.25">
      <c r="A56" s="149" t="s">
        <v>176</v>
      </c>
      <c r="B56" s="151" t="s">
        <v>4</v>
      </c>
      <c r="C56" s="209">
        <f>IF('РСБУ отчетность'!$F$80&gt;=Подложка!C36,1,0)</f>
        <v>1</v>
      </c>
      <c r="D56" s="156">
        <f>IF('РСБУ отчетность'!$F$80&gt;=Подложка!D36,1,0)</f>
        <v>1</v>
      </c>
      <c r="E56" s="210">
        <f>IF('РСБУ отчетность'!$F$80&gt;=Подложка!E36,1,0)</f>
        <v>1</v>
      </c>
      <c r="F56" s="171">
        <f t="shared" si="18"/>
        <v>3</v>
      </c>
      <c r="G56" s="172">
        <f t="shared" ref="G56:G63" si="28">IF(F56=3,100,IF(F56=2,70,IF(F56=1,40,0)))</f>
        <v>100</v>
      </c>
      <c r="H56" s="209">
        <f>IF('РСБУ отчетность'!$F$80&gt;=Подложка!H36,1,0)</f>
        <v>1</v>
      </c>
      <c r="I56" s="156">
        <f>IF('РСБУ отчетность'!$F$80&gt;=Подложка!I36,1,0)</f>
        <v>1</v>
      </c>
      <c r="J56" s="210">
        <f>IF('РСБУ отчетность'!$F$80&gt;=Подложка!J36,1,0)</f>
        <v>1</v>
      </c>
      <c r="K56" s="171">
        <f t="shared" si="19"/>
        <v>3</v>
      </c>
      <c r="L56" s="172">
        <f t="shared" ref="L56:L63" si="29">IF(K56=3,100,IF(K56=2,70,IF(K56=1,40,0)))</f>
        <v>100</v>
      </c>
      <c r="M56" s="209">
        <f>IF('РСБУ отчетность'!$F$80&gt;=Подложка!M36,1,0)</f>
        <v>1</v>
      </c>
      <c r="N56" s="156">
        <f>IF('РСБУ отчетность'!$F$80&gt;=Подложка!N36,1,0)</f>
        <v>1</v>
      </c>
      <c r="O56" s="210">
        <f>IF('РСБУ отчетность'!$F$80&gt;=Подложка!O36,1,0)</f>
        <v>1</v>
      </c>
      <c r="P56" s="171">
        <f t="shared" si="20"/>
        <v>3</v>
      </c>
      <c r="Q56" s="172">
        <f t="shared" ref="Q56:Q63" si="30">IF(P56=3,100,IF(P56=2,70,IF(P56=1,40,0)))</f>
        <v>100</v>
      </c>
      <c r="R56" s="209">
        <f>IF('РСБУ отчетность'!$F$80&gt;=Подложка!R36,1,0)</f>
        <v>1</v>
      </c>
      <c r="S56" s="156">
        <f>IF('РСБУ отчетность'!$F$80&gt;=Подложка!S36,1,0)</f>
        <v>1</v>
      </c>
      <c r="T56" s="210">
        <f>IF('РСБУ отчетность'!$F$80&gt;=Подложка!T36,1,0)</f>
        <v>1</v>
      </c>
      <c r="U56" s="171">
        <f t="shared" si="21"/>
        <v>3</v>
      </c>
      <c r="V56" s="172">
        <f t="shared" ref="V56:V63" si="31">IF(U56=3,100,IF(U56=2,70,IF(U56=1,40,0)))</f>
        <v>100</v>
      </c>
      <c r="W56" s="209">
        <f>IF('РСБУ отчетность'!$F$80&gt;=Подложка!W36,1,0)</f>
        <v>1</v>
      </c>
      <c r="X56" s="156">
        <f>IF('РСБУ отчетность'!$F$80&gt;=Подложка!X36,1,0)</f>
        <v>1</v>
      </c>
      <c r="Y56" s="210">
        <f>IF('РСБУ отчетность'!$F$80&gt;=Подложка!Y36,1,0)</f>
        <v>1</v>
      </c>
      <c r="Z56" s="171">
        <f t="shared" si="22"/>
        <v>3</v>
      </c>
      <c r="AA56" s="172">
        <f t="shared" ref="AA56:AA63" si="32">IF(Z56=3,100,IF(Z56=2,70,IF(Z56=1,40,0)))</f>
        <v>100</v>
      </c>
      <c r="AB56" s="209">
        <f>IF('РСБУ отчетность'!$F$80&gt;=Подложка!AB36,1,0)</f>
        <v>1</v>
      </c>
      <c r="AC56" s="156">
        <f>IF('РСБУ отчетность'!$F$80&gt;=Подложка!AC36,1,0)</f>
        <v>1</v>
      </c>
      <c r="AD56" s="210">
        <f>IF('РСБУ отчетность'!$F$80&gt;=Подложка!AD36,1,0)</f>
        <v>0</v>
      </c>
      <c r="AE56" s="171">
        <f t="shared" si="23"/>
        <v>2</v>
      </c>
      <c r="AF56" s="172">
        <f t="shared" ref="AF56:AF63" si="33">IF(AE56=3,100,IF(AE56=2,70,IF(AE56=1,40,0)))</f>
        <v>70</v>
      </c>
      <c r="AG56" s="209">
        <f>IF('РСБУ отчетность'!$F$80&gt;=Подложка!AG36,1,0)</f>
        <v>1</v>
      </c>
      <c r="AH56" s="156">
        <f>IF('РСБУ отчетность'!$F$80&gt;=Подложка!AH36,1,0)</f>
        <v>1</v>
      </c>
      <c r="AI56" s="210">
        <f>IF('РСБУ отчетность'!$F$80&gt;=Подложка!AI36,1,0)</f>
        <v>0</v>
      </c>
      <c r="AJ56" s="171">
        <f t="shared" si="24"/>
        <v>2</v>
      </c>
      <c r="AK56" s="172">
        <f t="shared" ref="AK56:AK63" si="34">IF(AJ56=3,100,IF(AJ56=2,70,IF(AJ56=1,40,0)))</f>
        <v>70</v>
      </c>
      <c r="AL56" s="209">
        <f>IF('РСБУ отчетность'!$F$80&gt;=Подложка!AL36,1,0)</f>
        <v>1</v>
      </c>
      <c r="AM56" s="156">
        <f>IF('РСБУ отчетность'!$F$80&gt;=Подложка!AM36,1,0)</f>
        <v>1</v>
      </c>
      <c r="AN56" s="210">
        <f>IF('РСБУ отчетность'!$F$80&gt;=Подложка!AN36,1,0)</f>
        <v>0</v>
      </c>
      <c r="AO56" s="171">
        <f t="shared" si="25"/>
        <v>2</v>
      </c>
      <c r="AP56" s="172">
        <f t="shared" ref="AP56:AP63" si="35">IF(AO56=3,100,IF(AO56=2,70,IF(AO56=1,40,0)))</f>
        <v>70</v>
      </c>
      <c r="AQ56" s="209">
        <f>IF('РСБУ отчетность'!$F$80&gt;=Подложка!AQ36,1,0)</f>
        <v>1</v>
      </c>
      <c r="AR56" s="156">
        <f>IF('РСБУ отчетность'!$F$80&gt;=Подложка!AR36,1,0)</f>
        <v>1</v>
      </c>
      <c r="AS56" s="210">
        <f>IF('РСБУ отчетность'!$F$80&gt;=Подложка!AS36,1,0)</f>
        <v>0</v>
      </c>
      <c r="AT56" s="171">
        <f t="shared" si="26"/>
        <v>2</v>
      </c>
      <c r="AU56" s="172">
        <f t="shared" si="27"/>
        <v>70</v>
      </c>
    </row>
    <row r="57" spans="1:47" ht="45" x14ac:dyDescent="0.25">
      <c r="A57" s="149" t="s">
        <v>177</v>
      </c>
      <c r="B57" s="193" t="s">
        <v>343</v>
      </c>
      <c r="C57" s="209">
        <f>IF('РСБУ отчетность'!$F$81&lt;Подложка!C37,1,0)</f>
        <v>0</v>
      </c>
      <c r="D57" s="156">
        <f>IF('РСБУ отчетность'!$F$81&lt;Подложка!D37,1,0)</f>
        <v>0</v>
      </c>
      <c r="E57" s="210">
        <f>IF('РСБУ отчетность'!$F$81&lt;Подложка!E37,1,0)</f>
        <v>0</v>
      </c>
      <c r="F57" s="171">
        <f t="shared" si="18"/>
        <v>0</v>
      </c>
      <c r="G57" s="172">
        <f t="shared" si="28"/>
        <v>0</v>
      </c>
      <c r="H57" s="209">
        <f>IF('РСБУ отчетность'!$F$81&lt;Подложка!H37,1,0)</f>
        <v>0</v>
      </c>
      <c r="I57" s="156">
        <f>IF('РСБУ отчетность'!$F$81&lt;Подложка!I37,1,0)</f>
        <v>0</v>
      </c>
      <c r="J57" s="210">
        <f>IF('РСБУ отчетность'!$F$81&lt;Подложка!J37,1,0)</f>
        <v>0</v>
      </c>
      <c r="K57" s="171">
        <f t="shared" si="19"/>
        <v>0</v>
      </c>
      <c r="L57" s="172">
        <f t="shared" si="29"/>
        <v>0</v>
      </c>
      <c r="M57" s="209">
        <f>IF('РСБУ отчетность'!$F$81&lt;Подложка!M37,1,0)</f>
        <v>0</v>
      </c>
      <c r="N57" s="156">
        <f>IF('РСБУ отчетность'!$F$81&lt;Подложка!N37,1,0)</f>
        <v>0</v>
      </c>
      <c r="O57" s="210">
        <f>IF('РСБУ отчетность'!$F$81&lt;Подложка!O37,1,0)</f>
        <v>0</v>
      </c>
      <c r="P57" s="171">
        <f t="shared" si="20"/>
        <v>0</v>
      </c>
      <c r="Q57" s="172">
        <f t="shared" si="30"/>
        <v>0</v>
      </c>
      <c r="R57" s="209">
        <f>IF('РСБУ отчетность'!$F$81&lt;Подложка!R37,1,0)</f>
        <v>0</v>
      </c>
      <c r="S57" s="156">
        <f>IF('РСБУ отчетность'!$F$81&lt;Подложка!S37,1,0)</f>
        <v>0</v>
      </c>
      <c r="T57" s="210">
        <f>IF('РСБУ отчетность'!$F$81&lt;Подложка!T37,1,0)</f>
        <v>0</v>
      </c>
      <c r="U57" s="171">
        <f t="shared" si="21"/>
        <v>0</v>
      </c>
      <c r="V57" s="172">
        <f t="shared" si="31"/>
        <v>0</v>
      </c>
      <c r="W57" s="209">
        <f>IF('РСБУ отчетность'!$F$81&lt;Подложка!W37,1,0)</f>
        <v>0</v>
      </c>
      <c r="X57" s="156">
        <f>IF('РСБУ отчетность'!$F$81&lt;Подложка!X37,1,0)</f>
        <v>0</v>
      </c>
      <c r="Y57" s="210">
        <f>IF('РСБУ отчетность'!$F$81&lt;Подложка!Y37,1,0)</f>
        <v>0</v>
      </c>
      <c r="Z57" s="171">
        <f t="shared" si="22"/>
        <v>0</v>
      </c>
      <c r="AA57" s="172">
        <f t="shared" si="32"/>
        <v>0</v>
      </c>
      <c r="AB57" s="209">
        <f>IF('РСБУ отчетность'!$F$81&lt;Подложка!AB37,1,0)</f>
        <v>0</v>
      </c>
      <c r="AC57" s="156">
        <f>IF('РСБУ отчетность'!$F$81&lt;Подложка!AC37,1,0)</f>
        <v>0</v>
      </c>
      <c r="AD57" s="210">
        <f>IF('РСБУ отчетность'!$F$81&lt;Подложка!AD37,1,0)</f>
        <v>0</v>
      </c>
      <c r="AE57" s="171">
        <f t="shared" si="23"/>
        <v>0</v>
      </c>
      <c r="AF57" s="172">
        <f t="shared" si="33"/>
        <v>0</v>
      </c>
      <c r="AG57" s="209">
        <f>IF('РСБУ отчетность'!$F$81&lt;Подложка!AG37,1,0)</f>
        <v>0</v>
      </c>
      <c r="AH57" s="156">
        <f>IF('РСБУ отчетность'!$F$81&lt;Подложка!AH37,1,0)</f>
        <v>0</v>
      </c>
      <c r="AI57" s="210">
        <f>IF('РСБУ отчетность'!$F$81&lt;Подложка!AI37,1,0)</f>
        <v>0</v>
      </c>
      <c r="AJ57" s="171">
        <f t="shared" si="24"/>
        <v>0</v>
      </c>
      <c r="AK57" s="172">
        <f t="shared" si="34"/>
        <v>0</v>
      </c>
      <c r="AL57" s="209">
        <f>IF('РСБУ отчетность'!$F$81&lt;Подложка!AL37,1,0)</f>
        <v>0</v>
      </c>
      <c r="AM57" s="156">
        <f>IF('РСБУ отчетность'!$F$81&lt;Подложка!AM37,1,0)</f>
        <v>0</v>
      </c>
      <c r="AN57" s="210">
        <f>IF('РСБУ отчетность'!$F$81&lt;Подложка!AN37,1,0)</f>
        <v>0</v>
      </c>
      <c r="AO57" s="171">
        <f t="shared" si="25"/>
        <v>0</v>
      </c>
      <c r="AP57" s="172">
        <f t="shared" si="35"/>
        <v>0</v>
      </c>
      <c r="AQ57" s="209">
        <f>IF('РСБУ отчетность'!$F$81&lt;Подложка!AQ37,1,0)</f>
        <v>0</v>
      </c>
      <c r="AR57" s="156">
        <f>IF('РСБУ отчетность'!$F$81&lt;Подложка!AR37,1,0)</f>
        <v>0</v>
      </c>
      <c r="AS57" s="210">
        <f>IF('РСБУ отчетность'!$F$81&lt;Подложка!AS37,1,0)</f>
        <v>0</v>
      </c>
      <c r="AT57" s="171">
        <f t="shared" si="26"/>
        <v>0</v>
      </c>
      <c r="AU57" s="172">
        <f t="shared" si="27"/>
        <v>0</v>
      </c>
    </row>
    <row r="58" spans="1:47" ht="30" x14ac:dyDescent="0.25">
      <c r="A58" s="149" t="s">
        <v>178</v>
      </c>
      <c r="B58" s="151" t="s">
        <v>252</v>
      </c>
      <c r="C58" s="209">
        <f>IF('РСБУ отчетность'!$F$82&gt;=Подложка!C38,1,0)</f>
        <v>1</v>
      </c>
      <c r="D58" s="156">
        <f>IF('РСБУ отчетность'!$F$82&gt;=Подложка!D38,1,0)</f>
        <v>1</v>
      </c>
      <c r="E58" s="210">
        <f>IF('РСБУ отчетность'!$F$82&gt;=Подложка!E38,1,0)</f>
        <v>1</v>
      </c>
      <c r="F58" s="171">
        <f t="shared" si="18"/>
        <v>3</v>
      </c>
      <c r="G58" s="172">
        <f t="shared" si="28"/>
        <v>100</v>
      </c>
      <c r="H58" s="209">
        <f>IF('РСБУ отчетность'!$F$82&gt;=Подложка!H38,1,0)</f>
        <v>1</v>
      </c>
      <c r="I58" s="156">
        <f>IF('РСБУ отчетность'!$F$82&gt;=Подложка!I38,1,0)</f>
        <v>1</v>
      </c>
      <c r="J58" s="210">
        <f>IF('РСБУ отчетность'!$F$82&gt;=Подложка!J38,1,0)</f>
        <v>0</v>
      </c>
      <c r="K58" s="171">
        <f t="shared" si="19"/>
        <v>2</v>
      </c>
      <c r="L58" s="172">
        <f t="shared" si="29"/>
        <v>70</v>
      </c>
      <c r="M58" s="209">
        <f>IF('РСБУ отчетность'!$F$82&gt;=Подложка!M38,1,0)</f>
        <v>1</v>
      </c>
      <c r="N58" s="156">
        <f>IF('РСБУ отчетность'!$F$82&gt;=Подложка!N38,1,0)</f>
        <v>1</v>
      </c>
      <c r="O58" s="210">
        <f>IF('РСБУ отчетность'!$F$82&gt;=Подложка!O38,1,0)</f>
        <v>1</v>
      </c>
      <c r="P58" s="171">
        <f t="shared" si="20"/>
        <v>3</v>
      </c>
      <c r="Q58" s="172">
        <f t="shared" si="30"/>
        <v>100</v>
      </c>
      <c r="R58" s="209">
        <f>IF('РСБУ отчетность'!$F$82&gt;=Подложка!R38,1,0)</f>
        <v>1</v>
      </c>
      <c r="S58" s="156">
        <f>IF('РСБУ отчетность'!$F$82&gt;=Подложка!S38,1,0)</f>
        <v>1</v>
      </c>
      <c r="T58" s="210">
        <f>IF('РСБУ отчетность'!$F$82&gt;=Подложка!T38,1,0)</f>
        <v>1</v>
      </c>
      <c r="U58" s="171">
        <f t="shared" si="21"/>
        <v>3</v>
      </c>
      <c r="V58" s="172">
        <f t="shared" si="31"/>
        <v>100</v>
      </c>
      <c r="W58" s="209">
        <f>IF('РСБУ отчетность'!$F$82&gt;=Подложка!W38,1,0)</f>
        <v>1</v>
      </c>
      <c r="X58" s="156">
        <f>IF('РСБУ отчетность'!$F$82&gt;=Подложка!X38,1,0)</f>
        <v>1</v>
      </c>
      <c r="Y58" s="210">
        <f>IF('РСБУ отчетность'!$F$82&gt;=Подложка!Y38,1,0)</f>
        <v>0</v>
      </c>
      <c r="Z58" s="171">
        <f t="shared" si="22"/>
        <v>2</v>
      </c>
      <c r="AA58" s="172">
        <f t="shared" si="32"/>
        <v>70</v>
      </c>
      <c r="AB58" s="209">
        <f>IF('РСБУ отчетность'!$F$82&gt;=Подложка!AB38,1,0)</f>
        <v>1</v>
      </c>
      <c r="AC58" s="156">
        <f>IF('РСБУ отчетность'!$F$82&gt;=Подложка!AC38,1,0)</f>
        <v>1</v>
      </c>
      <c r="AD58" s="210">
        <f>IF('РСБУ отчетность'!$F$82&gt;=Подложка!AD38,1,0)</f>
        <v>0</v>
      </c>
      <c r="AE58" s="171">
        <f t="shared" si="23"/>
        <v>2</v>
      </c>
      <c r="AF58" s="172">
        <f t="shared" si="33"/>
        <v>70</v>
      </c>
      <c r="AG58" s="209">
        <f>IF('РСБУ отчетность'!$F$82&gt;=Подложка!AG38,1,0)</f>
        <v>1</v>
      </c>
      <c r="AH58" s="156">
        <f>IF('РСБУ отчетность'!$F$82&gt;=Подложка!AH38,1,0)</f>
        <v>1</v>
      </c>
      <c r="AI58" s="210">
        <f>IF('РСБУ отчетность'!$F$82&gt;=Подложка!AI38,1,0)</f>
        <v>0</v>
      </c>
      <c r="AJ58" s="171">
        <f t="shared" si="24"/>
        <v>2</v>
      </c>
      <c r="AK58" s="172">
        <f t="shared" si="34"/>
        <v>70</v>
      </c>
      <c r="AL58" s="209">
        <f>IF('РСБУ отчетность'!$F$82&gt;=Подложка!AL38,1,0)</f>
        <v>1</v>
      </c>
      <c r="AM58" s="156">
        <f>IF('РСБУ отчетность'!$F$82&gt;=Подложка!AM38,1,0)</f>
        <v>1</v>
      </c>
      <c r="AN58" s="210">
        <f>IF('РСБУ отчетность'!$F$82&gt;=Подложка!AN38,1,0)</f>
        <v>0</v>
      </c>
      <c r="AO58" s="171">
        <f t="shared" si="25"/>
        <v>2</v>
      </c>
      <c r="AP58" s="172">
        <f t="shared" si="35"/>
        <v>70</v>
      </c>
      <c r="AQ58" s="209">
        <f>IF('РСБУ отчетность'!$F$82&gt;=Подложка!AQ38,1,0)</f>
        <v>1</v>
      </c>
      <c r="AR58" s="156">
        <f>IF('РСБУ отчетность'!$F$82&gt;=Подложка!AR38,1,0)</f>
        <v>1</v>
      </c>
      <c r="AS58" s="210">
        <f>IF('РСБУ отчетность'!$F$82&gt;=Подложка!AS38,1,0)</f>
        <v>0</v>
      </c>
      <c r="AT58" s="171">
        <f t="shared" si="26"/>
        <v>2</v>
      </c>
      <c r="AU58" s="172">
        <f t="shared" si="27"/>
        <v>70</v>
      </c>
    </row>
    <row r="59" spans="1:47" ht="30" x14ac:dyDescent="0.25">
      <c r="A59" s="149" t="s">
        <v>179</v>
      </c>
      <c r="B59" s="151" t="s">
        <v>41</v>
      </c>
      <c r="C59" s="209">
        <f>IF('РСБУ отчетность'!$F$83&gt;=Подложка!C39,1,0)</f>
        <v>1</v>
      </c>
      <c r="D59" s="156">
        <f>IF('РСБУ отчетность'!$F$83&gt;=Подложка!D39,1,0)</f>
        <v>1</v>
      </c>
      <c r="E59" s="210">
        <f>IF('РСБУ отчетность'!$F$83&gt;=Подложка!E39,1,0)</f>
        <v>1</v>
      </c>
      <c r="F59" s="171">
        <f t="shared" si="18"/>
        <v>3</v>
      </c>
      <c r="G59" s="172">
        <f t="shared" si="28"/>
        <v>100</v>
      </c>
      <c r="H59" s="209">
        <f>IF('РСБУ отчетность'!$F$83&gt;=Подложка!H39,1,0)</f>
        <v>1</v>
      </c>
      <c r="I59" s="156">
        <f>IF('РСБУ отчетность'!$F$83&gt;=Подложка!I39,1,0)</f>
        <v>1</v>
      </c>
      <c r="J59" s="210">
        <f>IF('РСБУ отчетность'!$F$83&gt;=Подложка!J39,1,0)</f>
        <v>1</v>
      </c>
      <c r="K59" s="171">
        <f t="shared" si="19"/>
        <v>3</v>
      </c>
      <c r="L59" s="172">
        <f t="shared" si="29"/>
        <v>100</v>
      </c>
      <c r="M59" s="209">
        <f>IF('РСБУ отчетность'!$F$83&gt;=Подложка!M39,1,0)</f>
        <v>1</v>
      </c>
      <c r="N59" s="156">
        <f>IF('РСБУ отчетность'!$F$83&gt;=Подложка!N39,1,0)</f>
        <v>1</v>
      </c>
      <c r="O59" s="210">
        <f>IF('РСБУ отчетность'!$F$83&gt;=Подложка!O39,1,0)</f>
        <v>1</v>
      </c>
      <c r="P59" s="171">
        <f t="shared" si="20"/>
        <v>3</v>
      </c>
      <c r="Q59" s="172">
        <f t="shared" si="30"/>
        <v>100</v>
      </c>
      <c r="R59" s="209">
        <f>IF('РСБУ отчетность'!$F$83&gt;=Подложка!R39,1,0)</f>
        <v>1</v>
      </c>
      <c r="S59" s="156">
        <f>IF('РСБУ отчетность'!$F$83&gt;=Подложка!S39,1,0)</f>
        <v>1</v>
      </c>
      <c r="T59" s="210">
        <f>IF('РСБУ отчетность'!$F$83&gt;=Подложка!T39,1,0)</f>
        <v>1</v>
      </c>
      <c r="U59" s="171">
        <f t="shared" si="21"/>
        <v>3</v>
      </c>
      <c r="V59" s="172">
        <f t="shared" si="31"/>
        <v>100</v>
      </c>
      <c r="W59" s="209">
        <f>IF('РСБУ отчетность'!$F$83&gt;=Подложка!W39,1,0)</f>
        <v>1</v>
      </c>
      <c r="X59" s="156">
        <f>IF('РСБУ отчетность'!$F$83&gt;=Подложка!X39,1,0)</f>
        <v>1</v>
      </c>
      <c r="Y59" s="210">
        <f>IF('РСБУ отчетность'!$F$83&gt;=Подложка!Y39,1,0)</f>
        <v>1</v>
      </c>
      <c r="Z59" s="171">
        <f t="shared" si="22"/>
        <v>3</v>
      </c>
      <c r="AA59" s="172">
        <f t="shared" si="32"/>
        <v>100</v>
      </c>
      <c r="AB59" s="209">
        <f>IF('РСБУ отчетность'!$F$83&gt;=Подложка!AB39,1,0)</f>
        <v>1</v>
      </c>
      <c r="AC59" s="156">
        <f>IF('РСБУ отчетность'!$F$83&gt;=Подложка!AC39,1,0)</f>
        <v>1</v>
      </c>
      <c r="AD59" s="210">
        <f>IF('РСБУ отчетность'!$F$83&gt;=Подложка!AD39,1,0)</f>
        <v>1</v>
      </c>
      <c r="AE59" s="171">
        <f t="shared" si="23"/>
        <v>3</v>
      </c>
      <c r="AF59" s="172">
        <f t="shared" si="33"/>
        <v>100</v>
      </c>
      <c r="AG59" s="209">
        <f>IF('РСБУ отчетность'!$F$83&gt;=Подложка!AG39,1,0)</f>
        <v>1</v>
      </c>
      <c r="AH59" s="156">
        <f>IF('РСБУ отчетность'!$F$83&gt;=Подложка!AH39,1,0)</f>
        <v>1</v>
      </c>
      <c r="AI59" s="210">
        <f>IF('РСБУ отчетность'!$F$83&gt;=Подложка!AI39,1,0)</f>
        <v>1</v>
      </c>
      <c r="AJ59" s="171">
        <f t="shared" si="24"/>
        <v>3</v>
      </c>
      <c r="AK59" s="172">
        <f t="shared" si="34"/>
        <v>100</v>
      </c>
      <c r="AL59" s="209">
        <f>IF('РСБУ отчетность'!$F$83&gt;=Подложка!AL39,1,0)</f>
        <v>1</v>
      </c>
      <c r="AM59" s="156">
        <f>IF('РСБУ отчетность'!$F$83&gt;=Подложка!AM39,1,0)</f>
        <v>1</v>
      </c>
      <c r="AN59" s="210">
        <f>IF('РСБУ отчетность'!$F$83&gt;=Подложка!AN39,1,0)</f>
        <v>0</v>
      </c>
      <c r="AO59" s="171">
        <f t="shared" si="25"/>
        <v>2</v>
      </c>
      <c r="AP59" s="172">
        <f t="shared" si="35"/>
        <v>70</v>
      </c>
      <c r="AQ59" s="209">
        <f>IF('РСБУ отчетность'!$F$83&gt;=Подложка!AQ39,1,0)</f>
        <v>1</v>
      </c>
      <c r="AR59" s="156">
        <f>IF('РСБУ отчетность'!$F$83&gt;=Подложка!AR39,1,0)</f>
        <v>1</v>
      </c>
      <c r="AS59" s="210">
        <f>IF('РСБУ отчетность'!$F$83&gt;=Подложка!AS39,1,0)</f>
        <v>1</v>
      </c>
      <c r="AT59" s="171">
        <f t="shared" si="26"/>
        <v>3</v>
      </c>
      <c r="AU59" s="172">
        <f t="shared" si="27"/>
        <v>100</v>
      </c>
    </row>
    <row r="60" spans="1:47" ht="30" x14ac:dyDescent="0.25">
      <c r="A60" s="149" t="s">
        <v>180</v>
      </c>
      <c r="B60" s="151" t="s">
        <v>235</v>
      </c>
      <c r="C60" s="209">
        <f>IF('РСБУ отчетность'!$F$84&lt;Подложка!C40,1,0)</f>
        <v>1</v>
      </c>
      <c r="D60" s="156">
        <f>IF('РСБУ отчетность'!$F$84&lt;Подложка!D40,1,0)</f>
        <v>1</v>
      </c>
      <c r="E60" s="210">
        <f>IF('РСБУ отчетность'!$F$84&lt;Подложка!E40,1,0)</f>
        <v>0</v>
      </c>
      <c r="F60" s="171">
        <f t="shared" si="18"/>
        <v>2</v>
      </c>
      <c r="G60" s="172">
        <f t="shared" si="28"/>
        <v>70</v>
      </c>
      <c r="H60" s="209">
        <f>IF('РСБУ отчетность'!$F$84&lt;Подложка!H40,1,0)</f>
        <v>1</v>
      </c>
      <c r="I60" s="156">
        <f>IF('РСБУ отчетность'!$F$84&lt;Подложка!I40,1,0)</f>
        <v>1</v>
      </c>
      <c r="J60" s="210">
        <f>IF('РСБУ отчетность'!$F$84&lt;Подложка!J40,1,0)</f>
        <v>0</v>
      </c>
      <c r="K60" s="171">
        <f t="shared" si="19"/>
        <v>2</v>
      </c>
      <c r="L60" s="172">
        <f t="shared" si="29"/>
        <v>70</v>
      </c>
      <c r="M60" s="209">
        <f>IF('РСБУ отчетность'!$F$84&lt;Подложка!M40,1,0)</f>
        <v>1</v>
      </c>
      <c r="N60" s="156">
        <f>IF('РСБУ отчетность'!$F$84&lt;Подложка!N40,1,0)</f>
        <v>1</v>
      </c>
      <c r="O60" s="210">
        <f>IF('РСБУ отчетность'!$F$84&lt;Подложка!O40,1,0)</f>
        <v>1</v>
      </c>
      <c r="P60" s="171">
        <f t="shared" si="20"/>
        <v>3</v>
      </c>
      <c r="Q60" s="172">
        <f t="shared" si="30"/>
        <v>100</v>
      </c>
      <c r="R60" s="209">
        <f>IF('РСБУ отчетность'!$F$84&lt;Подложка!R40,1,0)</f>
        <v>1</v>
      </c>
      <c r="S60" s="156">
        <f>IF('РСБУ отчетность'!$F$84&lt;Подложка!S40,1,0)</f>
        <v>1</v>
      </c>
      <c r="T60" s="210">
        <f>IF('РСБУ отчетность'!$F$84&lt;Подложка!T40,1,0)</f>
        <v>1</v>
      </c>
      <c r="U60" s="171">
        <f t="shared" si="21"/>
        <v>3</v>
      </c>
      <c r="V60" s="172">
        <f t="shared" si="31"/>
        <v>100</v>
      </c>
      <c r="W60" s="209">
        <f>IF('РСБУ отчетность'!$F$84&lt;Подложка!W40,1,0)</f>
        <v>1</v>
      </c>
      <c r="X60" s="156">
        <f>IF('РСБУ отчетность'!$F$84&lt;Подложка!X40,1,0)</f>
        <v>1</v>
      </c>
      <c r="Y60" s="210">
        <f>IF('РСБУ отчетность'!$F$84&lt;Подложка!Y40,1,0)</f>
        <v>0</v>
      </c>
      <c r="Z60" s="171">
        <f t="shared" si="22"/>
        <v>2</v>
      </c>
      <c r="AA60" s="172">
        <f t="shared" si="32"/>
        <v>70</v>
      </c>
      <c r="AB60" s="209">
        <f>IF('РСБУ отчетность'!$F$84&lt;Подложка!AB40,1,0)</f>
        <v>1</v>
      </c>
      <c r="AC60" s="156">
        <f>IF('РСБУ отчетность'!$F$84&lt;Подложка!AC40,1,0)</f>
        <v>1</v>
      </c>
      <c r="AD60" s="210">
        <f>IF('РСБУ отчетность'!$F$84&lt;Подложка!AD40,1,0)</f>
        <v>0</v>
      </c>
      <c r="AE60" s="171">
        <f t="shared" si="23"/>
        <v>2</v>
      </c>
      <c r="AF60" s="172">
        <f t="shared" si="33"/>
        <v>70</v>
      </c>
      <c r="AG60" s="209">
        <f>IF('РСБУ отчетность'!$F$84&lt;Подложка!AG40,1,0)</f>
        <v>1</v>
      </c>
      <c r="AH60" s="156">
        <f>IF('РСБУ отчетность'!$F$84&lt;Подложка!AH40,1,0)</f>
        <v>1</v>
      </c>
      <c r="AI60" s="210">
        <f>IF('РСБУ отчетность'!$F$84&lt;Подложка!AI40,1,0)</f>
        <v>0</v>
      </c>
      <c r="AJ60" s="171">
        <f t="shared" si="24"/>
        <v>2</v>
      </c>
      <c r="AK60" s="172">
        <f t="shared" si="34"/>
        <v>70</v>
      </c>
      <c r="AL60" s="209">
        <f>IF('РСБУ отчетность'!$F$84&lt;Подложка!AL40,1,0)</f>
        <v>1</v>
      </c>
      <c r="AM60" s="156">
        <f>IF('РСБУ отчетность'!$F$84&lt;Подложка!AM40,1,0)</f>
        <v>1</v>
      </c>
      <c r="AN60" s="210">
        <f>IF('РСБУ отчетность'!$F$84&lt;Подложка!AN40,1,0)</f>
        <v>0</v>
      </c>
      <c r="AO60" s="171">
        <f t="shared" si="25"/>
        <v>2</v>
      </c>
      <c r="AP60" s="172">
        <f t="shared" si="35"/>
        <v>70</v>
      </c>
      <c r="AQ60" s="209">
        <f>IF('РСБУ отчетность'!$F$84&lt;Подложка!AQ40,1,0)</f>
        <v>1</v>
      </c>
      <c r="AR60" s="156">
        <f>IF('РСБУ отчетность'!$F$84&lt;Подложка!AR40,1,0)</f>
        <v>1</v>
      </c>
      <c r="AS60" s="210">
        <f>IF('РСБУ отчетность'!$F$84&lt;Подложка!AS40,1,0)</f>
        <v>0</v>
      </c>
      <c r="AT60" s="171">
        <f t="shared" si="26"/>
        <v>2</v>
      </c>
      <c r="AU60" s="172">
        <f t="shared" si="27"/>
        <v>70</v>
      </c>
    </row>
    <row r="61" spans="1:47" ht="30" x14ac:dyDescent="0.25">
      <c r="A61" s="149" t="s">
        <v>250</v>
      </c>
      <c r="B61" s="151" t="s">
        <v>236</v>
      </c>
      <c r="C61" s="209">
        <f>IF('РСБУ отчетность'!$F$85&gt;=Подложка!C41,1,0)</f>
        <v>1</v>
      </c>
      <c r="D61" s="156">
        <f>IF('РСБУ отчетность'!$F$85&gt;=Подложка!D41,1,0)</f>
        <v>1</v>
      </c>
      <c r="E61" s="210">
        <f>IF('РСБУ отчетность'!$F$85&gt;=Подложка!E41,1,0)</f>
        <v>1</v>
      </c>
      <c r="F61" s="171">
        <f t="shared" si="18"/>
        <v>3</v>
      </c>
      <c r="G61" s="172">
        <f t="shared" si="28"/>
        <v>100</v>
      </c>
      <c r="H61" s="209">
        <f>IF('РСБУ отчетность'!$F$85&gt;=Подложка!H41,1,0)</f>
        <v>1</v>
      </c>
      <c r="I61" s="156">
        <f>IF('РСБУ отчетность'!$F$85&gt;=Подложка!I41,1,0)</f>
        <v>1</v>
      </c>
      <c r="J61" s="210">
        <f>IF('РСБУ отчетность'!$F$85&gt;=Подложка!J41,1,0)</f>
        <v>1</v>
      </c>
      <c r="K61" s="171">
        <f t="shared" si="19"/>
        <v>3</v>
      </c>
      <c r="L61" s="172">
        <f t="shared" si="29"/>
        <v>100</v>
      </c>
      <c r="M61" s="209">
        <f>IF('РСБУ отчетность'!$F$85&gt;=Подложка!M41,1,0)</f>
        <v>1</v>
      </c>
      <c r="N61" s="156">
        <f>IF('РСБУ отчетность'!$F$85&gt;=Подложка!N41,1,0)</f>
        <v>1</v>
      </c>
      <c r="O61" s="210">
        <f>IF('РСБУ отчетность'!$F$85&gt;=Подложка!O41,1,0)</f>
        <v>1</v>
      </c>
      <c r="P61" s="171">
        <f t="shared" si="20"/>
        <v>3</v>
      </c>
      <c r="Q61" s="172">
        <f t="shared" si="30"/>
        <v>100</v>
      </c>
      <c r="R61" s="209">
        <f>IF('РСБУ отчетность'!$F$85&gt;=Подложка!R41,1,0)</f>
        <v>1</v>
      </c>
      <c r="S61" s="156">
        <f>IF('РСБУ отчетность'!$F$85&gt;=Подложка!S41,1,0)</f>
        <v>1</v>
      </c>
      <c r="T61" s="210">
        <f>IF('РСБУ отчетность'!$F$85&gt;=Подложка!T41,1,0)</f>
        <v>1</v>
      </c>
      <c r="U61" s="171">
        <f t="shared" si="21"/>
        <v>3</v>
      </c>
      <c r="V61" s="172">
        <f t="shared" si="31"/>
        <v>100</v>
      </c>
      <c r="W61" s="209">
        <f>IF('РСБУ отчетность'!$F$85&gt;=Подложка!W41,1,0)</f>
        <v>1</v>
      </c>
      <c r="X61" s="156">
        <f>IF('РСБУ отчетность'!$F$85&gt;=Подложка!X41,1,0)</f>
        <v>1</v>
      </c>
      <c r="Y61" s="210">
        <f>IF('РСБУ отчетность'!$F$85&gt;=Подложка!Y41,1,0)</f>
        <v>1</v>
      </c>
      <c r="Z61" s="171">
        <f t="shared" si="22"/>
        <v>3</v>
      </c>
      <c r="AA61" s="172">
        <f t="shared" si="32"/>
        <v>100</v>
      </c>
      <c r="AB61" s="209">
        <f>IF('РСБУ отчетность'!$F$85&gt;=Подложка!AB41,1,0)</f>
        <v>1</v>
      </c>
      <c r="AC61" s="156">
        <f>IF('РСБУ отчетность'!$F$85&gt;=Подложка!AC41,1,0)</f>
        <v>1</v>
      </c>
      <c r="AD61" s="210">
        <f>IF('РСБУ отчетность'!$F$85&gt;=Подложка!AD41,1,0)</f>
        <v>1</v>
      </c>
      <c r="AE61" s="171">
        <f t="shared" si="23"/>
        <v>3</v>
      </c>
      <c r="AF61" s="172">
        <f t="shared" si="33"/>
        <v>100</v>
      </c>
      <c r="AG61" s="209">
        <f>IF('РСБУ отчетность'!$F$85&gt;=Подложка!AG41,1,0)</f>
        <v>1</v>
      </c>
      <c r="AH61" s="156">
        <f>IF('РСБУ отчетность'!$F$85&gt;=Подложка!AH41,1,0)</f>
        <v>1</v>
      </c>
      <c r="AI61" s="210">
        <f>IF('РСБУ отчетность'!$F$85&gt;=Подложка!AI41,1,0)</f>
        <v>1</v>
      </c>
      <c r="AJ61" s="171">
        <f t="shared" si="24"/>
        <v>3</v>
      </c>
      <c r="AK61" s="172">
        <f t="shared" si="34"/>
        <v>100</v>
      </c>
      <c r="AL61" s="209">
        <f>IF('РСБУ отчетность'!$F$85&gt;=Подложка!AL41,1,0)</f>
        <v>1</v>
      </c>
      <c r="AM61" s="156">
        <f>IF('РСБУ отчетность'!$F$85&gt;=Подложка!AM41,1,0)</f>
        <v>1</v>
      </c>
      <c r="AN61" s="210">
        <f>IF('РСБУ отчетность'!$F$85&gt;=Подложка!AN41,1,0)</f>
        <v>1</v>
      </c>
      <c r="AO61" s="171">
        <f t="shared" si="25"/>
        <v>3</v>
      </c>
      <c r="AP61" s="172">
        <f t="shared" si="35"/>
        <v>100</v>
      </c>
      <c r="AQ61" s="209">
        <f>IF('РСБУ отчетность'!$F$85&gt;=Подложка!AQ41,1,0)</f>
        <v>1</v>
      </c>
      <c r="AR61" s="156">
        <f>IF('РСБУ отчетность'!$F$85&gt;=Подложка!AR41,1,0)</f>
        <v>1</v>
      </c>
      <c r="AS61" s="210">
        <f>IF('РСБУ отчетность'!$F$85&gt;=Подложка!AS41,1,0)</f>
        <v>1</v>
      </c>
      <c r="AT61" s="171">
        <f>SUM(AQ61:AS61)</f>
        <v>3</v>
      </c>
      <c r="AU61" s="172">
        <f t="shared" si="27"/>
        <v>100</v>
      </c>
    </row>
    <row r="62" spans="1:47" ht="30" x14ac:dyDescent="0.25">
      <c r="A62" s="149" t="s">
        <v>181</v>
      </c>
      <c r="B62" s="151" t="s">
        <v>253</v>
      </c>
      <c r="C62" s="209">
        <f>IF('РСБУ отчетность'!$F$86&gt;=Подложка!C42,1,0)</f>
        <v>1</v>
      </c>
      <c r="D62" s="156">
        <f>IF('РСБУ отчетность'!$F$86&gt;=Подложка!D42,1,0)</f>
        <v>1</v>
      </c>
      <c r="E62" s="210">
        <f>IF('РСБУ отчетность'!$F$86&gt;=Подложка!E42,1,0)</f>
        <v>1</v>
      </c>
      <c r="F62" s="171">
        <f t="shared" si="18"/>
        <v>3</v>
      </c>
      <c r="G62" s="172">
        <f t="shared" si="28"/>
        <v>100</v>
      </c>
      <c r="H62" s="209">
        <f>IF('РСБУ отчетность'!$F$86&gt;=Подложка!H42,1,0)</f>
        <v>1</v>
      </c>
      <c r="I62" s="156">
        <f>IF('РСБУ отчетность'!$F$86&gt;=Подложка!I42,1,0)</f>
        <v>1</v>
      </c>
      <c r="J62" s="210">
        <f>IF('РСБУ отчетность'!$F$86&gt;=Подложка!J42,1,0)</f>
        <v>1</v>
      </c>
      <c r="K62" s="171">
        <f t="shared" si="19"/>
        <v>3</v>
      </c>
      <c r="L62" s="172">
        <f t="shared" si="29"/>
        <v>100</v>
      </c>
      <c r="M62" s="209">
        <f>IF('РСБУ отчетность'!$F$86&gt;=Подложка!M42,1,0)</f>
        <v>1</v>
      </c>
      <c r="N62" s="156">
        <f>IF('РСБУ отчетность'!$F$86&gt;=Подложка!N42,1,0)</f>
        <v>1</v>
      </c>
      <c r="O62" s="210">
        <f>IF('РСБУ отчетность'!$F$86&gt;=Подложка!O42,1,0)</f>
        <v>1</v>
      </c>
      <c r="P62" s="171">
        <f t="shared" si="20"/>
        <v>3</v>
      </c>
      <c r="Q62" s="172">
        <f t="shared" si="30"/>
        <v>100</v>
      </c>
      <c r="R62" s="209">
        <f>IF('РСБУ отчетность'!$F$86&gt;=Подложка!R42,1,0)</f>
        <v>1</v>
      </c>
      <c r="S62" s="156">
        <f>IF('РСБУ отчетность'!$F$86&gt;=Подложка!S42,1,0)</f>
        <v>1</v>
      </c>
      <c r="T62" s="210">
        <f>IF('РСБУ отчетность'!$F$86&gt;=Подложка!T42,1,0)</f>
        <v>1</v>
      </c>
      <c r="U62" s="171">
        <f t="shared" si="21"/>
        <v>3</v>
      </c>
      <c r="V62" s="172">
        <f t="shared" si="31"/>
        <v>100</v>
      </c>
      <c r="W62" s="209">
        <f>IF('РСБУ отчетность'!$F$86&gt;=Подложка!W42,1,0)</f>
        <v>1</v>
      </c>
      <c r="X62" s="156">
        <f>IF('РСБУ отчетность'!$F$86&gt;=Подложка!X42,1,0)</f>
        <v>1</v>
      </c>
      <c r="Y62" s="210">
        <f>IF('РСБУ отчетность'!$F$86&gt;=Подложка!Y42,1,0)</f>
        <v>1</v>
      </c>
      <c r="Z62" s="171">
        <f t="shared" si="22"/>
        <v>3</v>
      </c>
      <c r="AA62" s="172">
        <f t="shared" si="32"/>
        <v>100</v>
      </c>
      <c r="AB62" s="209">
        <f>IF('РСБУ отчетность'!$F$86&gt;=Подложка!AB42,1,0)</f>
        <v>1</v>
      </c>
      <c r="AC62" s="156">
        <f>IF('РСБУ отчетность'!$F$86&gt;=Подложка!AC42,1,0)</f>
        <v>1</v>
      </c>
      <c r="AD62" s="210">
        <f>IF('РСБУ отчетность'!$F$86&gt;=Подложка!AD42,1,0)</f>
        <v>1</v>
      </c>
      <c r="AE62" s="171">
        <f t="shared" si="23"/>
        <v>3</v>
      </c>
      <c r="AF62" s="172">
        <f t="shared" si="33"/>
        <v>100</v>
      </c>
      <c r="AG62" s="209">
        <f>IF('РСБУ отчетность'!$F$86&gt;=Подложка!AG42,1,0)</f>
        <v>1</v>
      </c>
      <c r="AH62" s="156">
        <f>IF('РСБУ отчетность'!$F$86&gt;=Подложка!AH42,1,0)</f>
        <v>1</v>
      </c>
      <c r="AI62" s="210">
        <f>IF('РСБУ отчетность'!$F$86&gt;=Подложка!AI42,1,0)</f>
        <v>1</v>
      </c>
      <c r="AJ62" s="171">
        <f t="shared" si="24"/>
        <v>3</v>
      </c>
      <c r="AK62" s="172">
        <f t="shared" si="34"/>
        <v>100</v>
      </c>
      <c r="AL62" s="209">
        <f>IF('РСБУ отчетность'!$F$86&gt;=Подложка!AL42,1,0)</f>
        <v>1</v>
      </c>
      <c r="AM62" s="156">
        <f>IF('РСБУ отчетность'!$F$86&gt;=Подложка!AM42,1,0)</f>
        <v>1</v>
      </c>
      <c r="AN62" s="210">
        <f>IF('РСБУ отчетность'!$F$86&gt;=Подложка!AN42,1,0)</f>
        <v>0</v>
      </c>
      <c r="AO62" s="171">
        <f t="shared" si="25"/>
        <v>2</v>
      </c>
      <c r="AP62" s="172">
        <f t="shared" si="35"/>
        <v>70</v>
      </c>
      <c r="AQ62" s="209">
        <f>IF('РСБУ отчетность'!$F$86&gt;=Подложка!AQ42,1,0)</f>
        <v>1</v>
      </c>
      <c r="AR62" s="156">
        <f>IF('РСБУ отчетность'!$F$86&gt;=Подложка!AR42,1,0)</f>
        <v>1</v>
      </c>
      <c r="AS62" s="210">
        <f>IF('РСБУ отчетность'!$F$86&gt;=Подложка!AS42,1,0)</f>
        <v>0</v>
      </c>
      <c r="AT62" s="171">
        <f>SUM(AQ62:AS62)</f>
        <v>2</v>
      </c>
      <c r="AU62" s="172">
        <f t="shared" si="27"/>
        <v>70</v>
      </c>
    </row>
    <row r="63" spans="1:47" ht="30.75" thickBot="1" x14ac:dyDescent="0.3">
      <c r="A63" s="328" t="s">
        <v>251</v>
      </c>
      <c r="B63" s="329" t="s">
        <v>254</v>
      </c>
      <c r="C63" s="211">
        <f>IF('РСБУ отчетность'!$F$87&gt;=Подложка!C43,1,0)</f>
        <v>1</v>
      </c>
      <c r="D63" s="157">
        <f>IF('РСБУ отчетность'!$F$87&gt;=Подложка!D43,1,0)</f>
        <v>1</v>
      </c>
      <c r="E63" s="212">
        <f>IF('РСБУ отчетность'!$F$87&gt;=Подложка!E43,1,0)</f>
        <v>1</v>
      </c>
      <c r="F63" s="173">
        <f t="shared" si="18"/>
        <v>3</v>
      </c>
      <c r="G63" s="174">
        <f t="shared" si="28"/>
        <v>100</v>
      </c>
      <c r="H63" s="211">
        <f>IF('РСБУ отчетность'!$F$87&gt;=Подложка!H43,1,0)</f>
        <v>1</v>
      </c>
      <c r="I63" s="157">
        <f>IF('РСБУ отчетность'!$F$87&gt;=Подложка!I43,1,0)</f>
        <v>1</v>
      </c>
      <c r="J63" s="212">
        <f>IF('РСБУ отчетность'!$F$87&gt;=Подложка!J43,1,0)</f>
        <v>1</v>
      </c>
      <c r="K63" s="173">
        <f t="shared" si="19"/>
        <v>3</v>
      </c>
      <c r="L63" s="174">
        <f t="shared" si="29"/>
        <v>100</v>
      </c>
      <c r="M63" s="211">
        <f>IF('РСБУ отчетность'!$F$87&gt;=Подложка!M43,1,0)</f>
        <v>1</v>
      </c>
      <c r="N63" s="157">
        <f>IF('РСБУ отчетность'!$F$87&gt;=Подложка!N43,1,0)</f>
        <v>1</v>
      </c>
      <c r="O63" s="212">
        <f>IF('РСБУ отчетность'!$F$87&gt;=Подложка!O43,1,0)</f>
        <v>1</v>
      </c>
      <c r="P63" s="173">
        <f t="shared" si="20"/>
        <v>3</v>
      </c>
      <c r="Q63" s="174">
        <f t="shared" si="30"/>
        <v>100</v>
      </c>
      <c r="R63" s="211">
        <f>IF('РСБУ отчетность'!$F$87&gt;=Подложка!R43,1,0)</f>
        <v>1</v>
      </c>
      <c r="S63" s="157">
        <f>IF('РСБУ отчетность'!$F$87&gt;=Подложка!S43,1,0)</f>
        <v>1</v>
      </c>
      <c r="T63" s="212">
        <f>IF('РСБУ отчетность'!$F$87&gt;=Подложка!T43,1,0)</f>
        <v>1</v>
      </c>
      <c r="U63" s="173">
        <f t="shared" si="21"/>
        <v>3</v>
      </c>
      <c r="V63" s="174">
        <f t="shared" si="31"/>
        <v>100</v>
      </c>
      <c r="W63" s="211">
        <f>IF('РСБУ отчетность'!$F$87&gt;=Подложка!W43,1,0)</f>
        <v>1</v>
      </c>
      <c r="X63" s="157">
        <f>IF('РСБУ отчетность'!$F$87&gt;=Подложка!X43,1,0)</f>
        <v>1</v>
      </c>
      <c r="Y63" s="212">
        <f>IF('РСБУ отчетность'!$F$87&gt;=Подложка!Y43,1,0)</f>
        <v>1</v>
      </c>
      <c r="Z63" s="173">
        <f t="shared" si="22"/>
        <v>3</v>
      </c>
      <c r="AA63" s="174">
        <f t="shared" si="32"/>
        <v>100</v>
      </c>
      <c r="AB63" s="211">
        <f>IF('РСБУ отчетность'!$F$87&gt;=Подложка!AB43,1,0)</f>
        <v>1</v>
      </c>
      <c r="AC63" s="157">
        <f>IF('РСБУ отчетность'!$F$87&gt;=Подложка!AC43,1,0)</f>
        <v>1</v>
      </c>
      <c r="AD63" s="212">
        <f>IF('РСБУ отчетность'!$F$87&gt;=Подложка!AD43,1,0)</f>
        <v>1</v>
      </c>
      <c r="AE63" s="173">
        <f t="shared" si="23"/>
        <v>3</v>
      </c>
      <c r="AF63" s="174">
        <f t="shared" si="33"/>
        <v>100</v>
      </c>
      <c r="AG63" s="211">
        <f>IF('РСБУ отчетность'!$F$87&gt;=Подложка!AG43,1,0)</f>
        <v>1</v>
      </c>
      <c r="AH63" s="157">
        <f>IF('РСБУ отчетность'!$F$87&gt;=Подложка!AH43,1,0)</f>
        <v>1</v>
      </c>
      <c r="AI63" s="212">
        <f>IF('РСБУ отчетность'!$F$87&gt;=Подложка!AI43,1,0)</f>
        <v>1</v>
      </c>
      <c r="AJ63" s="173">
        <f t="shared" si="24"/>
        <v>3</v>
      </c>
      <c r="AK63" s="174">
        <f t="shared" si="34"/>
        <v>100</v>
      </c>
      <c r="AL63" s="211">
        <f>IF('РСБУ отчетность'!$F$87&gt;=Подложка!AL43,1,0)</f>
        <v>1</v>
      </c>
      <c r="AM63" s="157">
        <f>IF('РСБУ отчетность'!$F$87&gt;=Подложка!AM43,1,0)</f>
        <v>1</v>
      </c>
      <c r="AN63" s="212">
        <f>IF('РСБУ отчетность'!$F$87&gt;=Подложка!AN43,1,0)</f>
        <v>1</v>
      </c>
      <c r="AO63" s="173">
        <f t="shared" si="25"/>
        <v>3</v>
      </c>
      <c r="AP63" s="174">
        <f t="shared" si="35"/>
        <v>100</v>
      </c>
      <c r="AQ63" s="211">
        <f>IF('РСБУ отчетность'!$F$87&gt;=Подложка!AQ43,1,0)</f>
        <v>1</v>
      </c>
      <c r="AR63" s="157">
        <f>IF('РСБУ отчетность'!$F$87&gt;=Подложка!AR43,1,0)</f>
        <v>1</v>
      </c>
      <c r="AS63" s="212">
        <f>IF('РСБУ отчетность'!$F$87&gt;=Подложка!AS43,1,0)</f>
        <v>0</v>
      </c>
      <c r="AT63" s="173">
        <f>SUM(AQ63:AS63)</f>
        <v>2</v>
      </c>
      <c r="AU63" s="174">
        <f t="shared" si="27"/>
        <v>70</v>
      </c>
    </row>
    <row r="64" spans="1:47" x14ac:dyDescent="0.25">
      <c r="A64" s="166"/>
      <c r="B64" s="324"/>
      <c r="C64" s="324"/>
      <c r="D64" s="324"/>
      <c r="E64" s="324"/>
      <c r="F64" s="333"/>
      <c r="G64" s="333"/>
      <c r="H64" s="324"/>
      <c r="I64" s="324"/>
      <c r="J64" s="324"/>
      <c r="K64" s="333"/>
      <c r="L64" s="333"/>
      <c r="M64" s="324"/>
      <c r="N64" s="324"/>
      <c r="O64" s="324"/>
      <c r="P64" s="333"/>
      <c r="Q64" s="333"/>
      <c r="R64" s="324"/>
      <c r="S64" s="324"/>
      <c r="T64" s="324"/>
      <c r="U64" s="333"/>
      <c r="V64" s="333"/>
      <c r="W64" s="324"/>
      <c r="X64" s="324"/>
      <c r="Y64" s="324"/>
      <c r="Z64" s="333"/>
      <c r="AA64" s="333"/>
      <c r="AB64" s="324"/>
      <c r="AC64" s="324"/>
      <c r="AD64" s="324"/>
      <c r="AE64" s="333"/>
      <c r="AF64" s="333"/>
      <c r="AG64" s="324"/>
      <c r="AH64" s="324"/>
      <c r="AI64" s="324"/>
      <c r="AJ64" s="333"/>
      <c r="AK64" s="333"/>
      <c r="AL64" s="324"/>
      <c r="AM64" s="324"/>
      <c r="AN64" s="324"/>
      <c r="AO64" s="333"/>
      <c r="AP64" s="333"/>
      <c r="AQ64" s="324"/>
      <c r="AR64" s="324"/>
      <c r="AS64" s="324"/>
      <c r="AT64" s="333"/>
      <c r="AU64" s="333"/>
    </row>
    <row r="65" spans="1:47" x14ac:dyDescent="0.25">
      <c r="A65" s="330"/>
      <c r="B65" s="331"/>
      <c r="C65" s="326"/>
      <c r="D65" s="326"/>
      <c r="E65" s="326"/>
      <c r="F65" s="326"/>
      <c r="G65" s="327"/>
      <c r="H65" s="326"/>
      <c r="I65" s="326"/>
      <c r="J65" s="326"/>
      <c r="K65" s="326"/>
      <c r="L65" s="327"/>
      <c r="M65" s="326"/>
      <c r="N65" s="326"/>
      <c r="O65" s="326"/>
      <c r="P65" s="326"/>
      <c r="Q65" s="327"/>
      <c r="R65" s="326"/>
      <c r="S65" s="326"/>
      <c r="T65" s="326"/>
      <c r="U65" s="326"/>
      <c r="V65" s="327"/>
      <c r="W65" s="326"/>
      <c r="X65" s="326"/>
      <c r="Y65" s="326"/>
      <c r="Z65" s="326"/>
      <c r="AA65" s="327"/>
      <c r="AB65" s="326"/>
      <c r="AC65" s="326"/>
      <c r="AD65" s="326"/>
      <c r="AE65" s="326"/>
      <c r="AF65" s="327"/>
      <c r="AG65" s="326"/>
      <c r="AH65" s="326"/>
      <c r="AI65" s="326"/>
      <c r="AJ65" s="326"/>
      <c r="AK65" s="327"/>
      <c r="AL65" s="326"/>
      <c r="AM65" s="326"/>
      <c r="AN65" s="326"/>
      <c r="AO65" s="326"/>
      <c r="AP65" s="327"/>
      <c r="AQ65" s="326"/>
      <c r="AR65" s="326"/>
      <c r="AS65" s="326"/>
      <c r="AT65" s="326"/>
      <c r="AU65" s="327"/>
    </row>
    <row r="66" spans="1:47" x14ac:dyDescent="0.25">
      <c r="A66" s="330"/>
      <c r="B66" s="332"/>
      <c r="C66" s="326"/>
      <c r="D66" s="326"/>
      <c r="E66" s="326"/>
      <c r="F66" s="326"/>
      <c r="G66" s="327"/>
      <c r="H66" s="326"/>
      <c r="I66" s="326"/>
      <c r="J66" s="326"/>
      <c r="K66" s="326"/>
      <c r="L66" s="327"/>
      <c r="M66" s="326"/>
      <c r="N66" s="326"/>
      <c r="O66" s="326"/>
      <c r="P66" s="326"/>
      <c r="Q66" s="327"/>
      <c r="R66" s="326"/>
      <c r="S66" s="326"/>
      <c r="T66" s="326"/>
      <c r="U66" s="326"/>
      <c r="V66" s="327"/>
      <c r="W66" s="326"/>
      <c r="X66" s="326"/>
      <c r="Y66" s="326"/>
      <c r="Z66" s="326"/>
      <c r="AA66" s="327"/>
      <c r="AB66" s="326"/>
      <c r="AC66" s="326"/>
      <c r="AD66" s="326"/>
      <c r="AE66" s="326"/>
      <c r="AF66" s="327"/>
      <c r="AG66" s="326"/>
      <c r="AH66" s="326"/>
      <c r="AI66" s="326"/>
      <c r="AJ66" s="326"/>
      <c r="AK66" s="327"/>
      <c r="AL66" s="326"/>
      <c r="AM66" s="326"/>
      <c r="AN66" s="326"/>
      <c r="AO66" s="326"/>
      <c r="AP66" s="327"/>
      <c r="AQ66" s="326"/>
      <c r="AR66" s="326"/>
      <c r="AS66" s="326"/>
      <c r="AT66" s="326"/>
      <c r="AU66" s="327"/>
    </row>
    <row r="67" spans="1:47" x14ac:dyDescent="0.25">
      <c r="A67" s="330"/>
      <c r="B67" s="332"/>
      <c r="C67" s="326"/>
      <c r="D67" s="326"/>
      <c r="E67" s="326"/>
      <c r="F67" s="326"/>
      <c r="G67" s="327"/>
      <c r="H67" s="326"/>
      <c r="I67" s="326"/>
      <c r="J67" s="326"/>
      <c r="K67" s="326"/>
      <c r="L67" s="327"/>
      <c r="M67" s="326"/>
      <c r="N67" s="326"/>
      <c r="O67" s="326"/>
      <c r="P67" s="326"/>
      <c r="Q67" s="327"/>
      <c r="R67" s="326"/>
      <c r="S67" s="326"/>
      <c r="T67" s="326"/>
      <c r="U67" s="326"/>
      <c r="V67" s="327"/>
      <c r="W67" s="326"/>
      <c r="X67" s="326"/>
      <c r="Y67" s="326"/>
      <c r="Z67" s="326"/>
      <c r="AA67" s="327"/>
      <c r="AB67" s="326"/>
      <c r="AC67" s="326"/>
      <c r="AD67" s="326"/>
      <c r="AE67" s="326"/>
      <c r="AF67" s="327"/>
      <c r="AG67" s="326"/>
      <c r="AH67" s="326"/>
      <c r="AI67" s="326"/>
      <c r="AJ67" s="326"/>
      <c r="AK67" s="327"/>
      <c r="AL67" s="326"/>
      <c r="AM67" s="326"/>
      <c r="AN67" s="326"/>
      <c r="AO67" s="326"/>
      <c r="AP67" s="327"/>
      <c r="AQ67" s="326"/>
      <c r="AR67" s="326"/>
      <c r="AS67" s="326"/>
      <c r="AT67" s="326"/>
      <c r="AU67" s="327"/>
    </row>
    <row r="68" spans="1:47" x14ac:dyDescent="0.25">
      <c r="A68" s="330"/>
      <c r="B68" s="332"/>
      <c r="C68" s="326"/>
      <c r="D68" s="326"/>
      <c r="E68" s="326"/>
      <c r="F68" s="326"/>
      <c r="G68" s="327"/>
      <c r="H68" s="326"/>
      <c r="I68" s="326"/>
      <c r="J68" s="326"/>
      <c r="K68" s="326"/>
      <c r="L68" s="327"/>
      <c r="M68" s="326"/>
      <c r="N68" s="326"/>
      <c r="O68" s="326"/>
      <c r="P68" s="326"/>
      <c r="Q68" s="327"/>
      <c r="R68" s="326"/>
      <c r="S68" s="326"/>
      <c r="T68" s="326"/>
      <c r="U68" s="326"/>
      <c r="V68" s="327"/>
      <c r="W68" s="326"/>
      <c r="X68" s="326"/>
      <c r="Y68" s="326"/>
      <c r="Z68" s="326"/>
      <c r="AA68" s="327"/>
      <c r="AB68" s="326"/>
      <c r="AC68" s="326"/>
      <c r="AD68" s="326"/>
      <c r="AE68" s="326"/>
      <c r="AF68" s="327"/>
      <c r="AG68" s="326"/>
      <c r="AH68" s="326"/>
      <c r="AI68" s="326"/>
      <c r="AJ68" s="326"/>
      <c r="AK68" s="327"/>
      <c r="AL68" s="326"/>
      <c r="AM68" s="326"/>
      <c r="AN68" s="326"/>
      <c r="AO68" s="326"/>
      <c r="AP68" s="327"/>
      <c r="AQ68" s="326"/>
      <c r="AR68" s="326"/>
      <c r="AS68" s="326"/>
      <c r="AT68" s="326"/>
      <c r="AU68" s="327"/>
    </row>
    <row r="69" spans="1:47" x14ac:dyDescent="0.25">
      <c r="A69" s="330"/>
      <c r="B69" s="332"/>
      <c r="C69" s="326"/>
      <c r="D69" s="326"/>
      <c r="E69" s="326"/>
      <c r="F69" s="326"/>
      <c r="G69" s="327"/>
      <c r="H69" s="326"/>
      <c r="I69" s="326"/>
      <c r="J69" s="326"/>
      <c r="K69" s="326"/>
      <c r="L69" s="327"/>
      <c r="M69" s="326"/>
      <c r="N69" s="326"/>
      <c r="O69" s="326"/>
      <c r="P69" s="326"/>
      <c r="Q69" s="327"/>
      <c r="R69" s="326"/>
      <c r="S69" s="326"/>
      <c r="T69" s="326"/>
      <c r="U69" s="326"/>
      <c r="V69" s="327"/>
      <c r="W69" s="326"/>
      <c r="X69" s="326"/>
      <c r="Y69" s="326"/>
      <c r="Z69" s="326"/>
      <c r="AA69" s="327"/>
      <c r="AB69" s="326"/>
      <c r="AC69" s="326"/>
      <c r="AD69" s="326"/>
      <c r="AE69" s="326"/>
      <c r="AF69" s="327"/>
      <c r="AG69" s="326"/>
      <c r="AH69" s="326"/>
      <c r="AI69" s="326"/>
      <c r="AJ69" s="326"/>
      <c r="AK69" s="327"/>
      <c r="AL69" s="326"/>
      <c r="AM69" s="326"/>
      <c r="AN69" s="326"/>
      <c r="AO69" s="326"/>
      <c r="AP69" s="327"/>
      <c r="AQ69" s="326"/>
      <c r="AR69" s="326"/>
      <c r="AS69" s="326"/>
      <c r="AT69" s="326"/>
      <c r="AU69" s="327"/>
    </row>
    <row r="70" spans="1:47" x14ac:dyDescent="0.25">
      <c r="A70" s="330"/>
      <c r="B70" s="332"/>
      <c r="C70" s="326"/>
      <c r="D70" s="326"/>
      <c r="E70" s="326"/>
      <c r="F70" s="326"/>
      <c r="G70" s="327"/>
      <c r="H70" s="326"/>
      <c r="I70" s="326"/>
      <c r="J70" s="326"/>
      <c r="K70" s="326"/>
      <c r="L70" s="327"/>
      <c r="M70" s="326"/>
      <c r="N70" s="326"/>
      <c r="O70" s="326"/>
      <c r="P70" s="326"/>
      <c r="Q70" s="327"/>
      <c r="R70" s="326"/>
      <c r="S70" s="326"/>
      <c r="T70" s="326"/>
      <c r="U70" s="326"/>
      <c r="V70" s="327"/>
      <c r="W70" s="326"/>
      <c r="X70" s="326"/>
      <c r="Y70" s="326"/>
      <c r="Z70" s="326"/>
      <c r="AA70" s="327"/>
      <c r="AB70" s="326"/>
      <c r="AC70" s="326"/>
      <c r="AD70" s="326"/>
      <c r="AE70" s="326"/>
      <c r="AF70" s="327"/>
      <c r="AG70" s="326"/>
      <c r="AH70" s="326"/>
      <c r="AI70" s="326"/>
      <c r="AJ70" s="326"/>
      <c r="AK70" s="327"/>
      <c r="AL70" s="326"/>
      <c r="AM70" s="326"/>
      <c r="AN70" s="326"/>
      <c r="AO70" s="326"/>
      <c r="AP70" s="327"/>
      <c r="AQ70" s="326"/>
      <c r="AR70" s="326"/>
      <c r="AS70" s="326"/>
      <c r="AT70" s="326"/>
      <c r="AU70" s="327"/>
    </row>
    <row r="71" spans="1:47" x14ac:dyDescent="0.25">
      <c r="A71" s="330"/>
      <c r="B71" s="332"/>
      <c r="C71" s="326"/>
      <c r="D71" s="326"/>
      <c r="E71" s="326"/>
      <c r="F71" s="326"/>
      <c r="G71" s="327"/>
      <c r="H71" s="326"/>
      <c r="I71" s="326"/>
      <c r="J71" s="326"/>
      <c r="K71" s="326"/>
      <c r="L71" s="327"/>
      <c r="M71" s="326"/>
      <c r="N71" s="326"/>
      <c r="O71" s="326"/>
      <c r="P71" s="326"/>
      <c r="Q71" s="327"/>
      <c r="R71" s="326"/>
      <c r="S71" s="326"/>
      <c r="T71" s="326"/>
      <c r="U71" s="326"/>
      <c r="V71" s="327"/>
      <c r="W71" s="326"/>
      <c r="X71" s="326"/>
      <c r="Y71" s="326"/>
      <c r="Z71" s="326"/>
      <c r="AA71" s="327"/>
      <c r="AB71" s="326"/>
      <c r="AC71" s="326"/>
      <c r="AD71" s="326"/>
      <c r="AE71" s="326"/>
      <c r="AF71" s="327"/>
      <c r="AG71" s="326"/>
      <c r="AH71" s="326"/>
      <c r="AI71" s="326"/>
      <c r="AJ71" s="326"/>
      <c r="AK71" s="327"/>
      <c r="AL71" s="326"/>
      <c r="AM71" s="326"/>
      <c r="AN71" s="326"/>
      <c r="AO71" s="326"/>
      <c r="AP71" s="327"/>
      <c r="AQ71" s="326"/>
      <c r="AR71" s="326"/>
      <c r="AS71" s="326"/>
      <c r="AT71" s="326"/>
      <c r="AU71" s="327"/>
    </row>
    <row r="72" spans="1:47" x14ac:dyDescent="0.25">
      <c r="A72" s="330"/>
      <c r="B72" s="332"/>
      <c r="C72" s="326"/>
      <c r="D72" s="326"/>
      <c r="E72" s="326"/>
      <c r="F72" s="326"/>
      <c r="G72" s="327"/>
      <c r="H72" s="326"/>
      <c r="I72" s="326"/>
      <c r="J72" s="326"/>
      <c r="K72" s="326"/>
      <c r="L72" s="327"/>
      <c r="M72" s="326"/>
      <c r="N72" s="326"/>
      <c r="O72" s="326"/>
      <c r="P72" s="326"/>
      <c r="Q72" s="327"/>
      <c r="R72" s="326"/>
      <c r="S72" s="326"/>
      <c r="T72" s="326"/>
      <c r="U72" s="326"/>
      <c r="V72" s="327"/>
      <c r="W72" s="326"/>
      <c r="X72" s="326"/>
      <c r="Y72" s="326"/>
      <c r="Z72" s="326"/>
      <c r="AA72" s="327"/>
      <c r="AB72" s="326"/>
      <c r="AC72" s="326"/>
      <c r="AD72" s="326"/>
      <c r="AE72" s="326"/>
      <c r="AF72" s="327"/>
      <c r="AG72" s="326"/>
      <c r="AH72" s="326"/>
      <c r="AI72" s="326"/>
      <c r="AJ72" s="326"/>
      <c r="AK72" s="327"/>
      <c r="AL72" s="326"/>
      <c r="AM72" s="326"/>
      <c r="AN72" s="326"/>
      <c r="AO72" s="326"/>
      <c r="AP72" s="327"/>
      <c r="AQ72" s="326"/>
      <c r="AR72" s="326"/>
      <c r="AS72" s="326"/>
      <c r="AT72" s="326"/>
      <c r="AU72" s="327"/>
    </row>
    <row r="73" spans="1:47" x14ac:dyDescent="0.25">
      <c r="A73" s="330"/>
      <c r="B73" s="332"/>
      <c r="C73" s="326"/>
      <c r="D73" s="326"/>
      <c r="E73" s="326"/>
      <c r="F73" s="326"/>
      <c r="G73" s="327"/>
      <c r="H73" s="326"/>
      <c r="I73" s="326"/>
      <c r="J73" s="326"/>
      <c r="K73" s="326"/>
      <c r="L73" s="327"/>
      <c r="M73" s="326"/>
      <c r="N73" s="326"/>
      <c r="O73" s="326"/>
      <c r="P73" s="326"/>
      <c r="Q73" s="327"/>
      <c r="R73" s="326"/>
      <c r="S73" s="326"/>
      <c r="T73" s="326"/>
      <c r="U73" s="326"/>
      <c r="V73" s="327"/>
      <c r="W73" s="326"/>
      <c r="X73" s="326"/>
      <c r="Y73" s="326"/>
      <c r="Z73" s="326"/>
      <c r="AA73" s="327"/>
      <c r="AB73" s="326"/>
      <c r="AC73" s="326"/>
      <c r="AD73" s="326"/>
      <c r="AE73" s="326"/>
      <c r="AF73" s="327"/>
      <c r="AG73" s="326"/>
      <c r="AH73" s="326"/>
      <c r="AI73" s="326"/>
      <c r="AJ73" s="326"/>
      <c r="AK73" s="327"/>
      <c r="AL73" s="326"/>
      <c r="AM73" s="326"/>
      <c r="AN73" s="326"/>
      <c r="AO73" s="326"/>
      <c r="AP73" s="327"/>
      <c r="AQ73" s="326"/>
      <c r="AR73" s="326"/>
      <c r="AS73" s="326"/>
      <c r="AT73" s="326"/>
      <c r="AU73" s="327"/>
    </row>
    <row r="74" spans="1:47" x14ac:dyDescent="0.25">
      <c r="A74" s="330"/>
      <c r="B74" s="332"/>
      <c r="C74" s="326"/>
      <c r="D74" s="326"/>
      <c r="E74" s="326"/>
      <c r="F74" s="326"/>
      <c r="G74" s="327"/>
      <c r="H74" s="326"/>
      <c r="I74" s="326"/>
      <c r="J74" s="326"/>
      <c r="K74" s="326"/>
      <c r="L74" s="327"/>
      <c r="M74" s="326"/>
      <c r="N74" s="326"/>
      <c r="O74" s="326"/>
      <c r="P74" s="326"/>
      <c r="Q74" s="327"/>
      <c r="R74" s="326"/>
      <c r="S74" s="326"/>
      <c r="T74" s="326"/>
      <c r="U74" s="326"/>
      <c r="V74" s="327"/>
      <c r="W74" s="326"/>
      <c r="X74" s="326"/>
      <c r="Y74" s="326"/>
      <c r="Z74" s="326"/>
      <c r="AA74" s="327"/>
      <c r="AB74" s="326"/>
      <c r="AC74" s="326"/>
      <c r="AD74" s="326"/>
      <c r="AE74" s="326"/>
      <c r="AF74" s="327"/>
      <c r="AG74" s="326"/>
      <c r="AH74" s="326"/>
      <c r="AI74" s="326"/>
      <c r="AJ74" s="326"/>
      <c r="AK74" s="327"/>
      <c r="AL74" s="326"/>
      <c r="AM74" s="326"/>
      <c r="AN74" s="326"/>
      <c r="AO74" s="326"/>
      <c r="AP74" s="327"/>
      <c r="AQ74" s="326"/>
      <c r="AR74" s="326"/>
      <c r="AS74" s="326"/>
      <c r="AT74" s="326"/>
      <c r="AU74" s="327"/>
    </row>
    <row r="75" spans="1:47" x14ac:dyDescent="0.25">
      <c r="A75" s="330"/>
      <c r="B75" s="332"/>
      <c r="C75" s="326"/>
      <c r="D75" s="326"/>
      <c r="E75" s="326"/>
      <c r="F75" s="326"/>
      <c r="G75" s="327"/>
      <c r="H75" s="326"/>
      <c r="I75" s="326"/>
      <c r="J75" s="326"/>
      <c r="K75" s="326"/>
      <c r="L75" s="327"/>
      <c r="M75" s="326"/>
      <c r="N75" s="326"/>
      <c r="O75" s="326"/>
      <c r="P75" s="326"/>
      <c r="Q75" s="327"/>
      <c r="R75" s="326"/>
      <c r="S75" s="326"/>
      <c r="T75" s="326"/>
      <c r="U75" s="326"/>
      <c r="V75" s="327"/>
      <c r="W75" s="326"/>
      <c r="X75" s="326"/>
      <c r="Y75" s="326"/>
      <c r="Z75" s="326"/>
      <c r="AA75" s="327"/>
      <c r="AB75" s="326"/>
      <c r="AC75" s="326"/>
      <c r="AD75" s="326"/>
      <c r="AE75" s="326"/>
      <c r="AF75" s="327"/>
      <c r="AG75" s="326"/>
      <c r="AH75" s="326"/>
      <c r="AI75" s="326"/>
      <c r="AJ75" s="326"/>
      <c r="AK75" s="327"/>
      <c r="AL75" s="326"/>
      <c r="AM75" s="326"/>
      <c r="AN75" s="326"/>
      <c r="AO75" s="326"/>
      <c r="AP75" s="327"/>
      <c r="AQ75" s="326"/>
      <c r="AR75" s="326"/>
      <c r="AS75" s="326"/>
      <c r="AT75" s="326"/>
      <c r="AU75" s="327"/>
    </row>
    <row r="77" spans="1:47" ht="15.75" thickBot="1" x14ac:dyDescent="0.3"/>
    <row r="78" spans="1:47" ht="30" x14ac:dyDescent="0.25">
      <c r="A78" s="207" t="s">
        <v>197</v>
      </c>
      <c r="C78" s="421" t="s">
        <v>159</v>
      </c>
      <c r="D78" s="422"/>
      <c r="E78" s="422"/>
      <c r="F78" s="422"/>
      <c r="G78" s="423"/>
      <c r="H78" s="422" t="s">
        <v>160</v>
      </c>
      <c r="I78" s="422"/>
      <c r="J78" s="422"/>
      <c r="K78" s="422"/>
      <c r="L78" s="423"/>
      <c r="M78" s="421" t="s">
        <v>161</v>
      </c>
      <c r="N78" s="422"/>
      <c r="O78" s="422"/>
      <c r="P78" s="422"/>
      <c r="Q78" s="423"/>
      <c r="R78" s="421" t="s">
        <v>162</v>
      </c>
      <c r="S78" s="422"/>
      <c r="T78" s="422"/>
      <c r="U78" s="422"/>
      <c r="V78" s="423"/>
      <c r="W78" s="421" t="s">
        <v>207</v>
      </c>
      <c r="X78" s="422"/>
      <c r="Y78" s="422"/>
      <c r="Z78" s="422"/>
      <c r="AA78" s="423"/>
      <c r="AB78" s="421" t="s">
        <v>163</v>
      </c>
      <c r="AC78" s="422"/>
      <c r="AD78" s="422"/>
      <c r="AE78" s="422"/>
      <c r="AF78" s="423"/>
      <c r="AG78" s="421" t="s">
        <v>164</v>
      </c>
      <c r="AH78" s="422"/>
      <c r="AI78" s="422"/>
      <c r="AJ78" s="422"/>
      <c r="AK78" s="423"/>
      <c r="AL78" s="421" t="s">
        <v>165</v>
      </c>
      <c r="AM78" s="422"/>
      <c r="AN78" s="422"/>
      <c r="AO78" s="422"/>
      <c r="AP78" s="423"/>
      <c r="AQ78" s="421" t="s">
        <v>262</v>
      </c>
      <c r="AR78" s="422"/>
      <c r="AS78" s="422"/>
      <c r="AT78" s="422"/>
      <c r="AU78" s="423"/>
    </row>
    <row r="79" spans="1:47" x14ac:dyDescent="0.25">
      <c r="C79" s="424" t="s">
        <v>167</v>
      </c>
      <c r="D79" s="425"/>
      <c r="E79" s="425"/>
      <c r="F79" s="425"/>
      <c r="G79" s="426"/>
      <c r="H79" s="425" t="s">
        <v>168</v>
      </c>
      <c r="I79" s="425"/>
      <c r="J79" s="425"/>
      <c r="K79" s="425"/>
      <c r="L79" s="426"/>
      <c r="M79" s="424" t="s">
        <v>169</v>
      </c>
      <c r="N79" s="425"/>
      <c r="O79" s="425"/>
      <c r="P79" s="425"/>
      <c r="Q79" s="426"/>
      <c r="R79" s="424" t="s">
        <v>170</v>
      </c>
      <c r="S79" s="425"/>
      <c r="T79" s="425"/>
      <c r="U79" s="425"/>
      <c r="V79" s="426"/>
      <c r="W79" s="424" t="s">
        <v>171</v>
      </c>
      <c r="X79" s="425"/>
      <c r="Y79" s="425"/>
      <c r="Z79" s="425"/>
      <c r="AA79" s="426"/>
      <c r="AB79" s="424" t="s">
        <v>172</v>
      </c>
      <c r="AC79" s="425"/>
      <c r="AD79" s="425"/>
      <c r="AE79" s="425"/>
      <c r="AF79" s="426"/>
      <c r="AG79" s="424" t="s">
        <v>173</v>
      </c>
      <c r="AH79" s="425"/>
      <c r="AI79" s="425"/>
      <c r="AJ79" s="425"/>
      <c r="AK79" s="426"/>
      <c r="AL79" s="424" t="s">
        <v>174</v>
      </c>
      <c r="AM79" s="425"/>
      <c r="AN79" s="425"/>
      <c r="AO79" s="425"/>
      <c r="AP79" s="426"/>
      <c r="AQ79" s="424" t="s">
        <v>263</v>
      </c>
      <c r="AR79" s="425"/>
      <c r="AS79" s="425"/>
      <c r="AT79" s="425"/>
      <c r="AU79" s="426"/>
    </row>
    <row r="80" spans="1:47" ht="30" x14ac:dyDescent="0.25">
      <c r="B80" s="193" t="s">
        <v>187</v>
      </c>
      <c r="C80" s="195" t="s">
        <v>188</v>
      </c>
      <c r="D80" s="190" t="s">
        <v>189</v>
      </c>
      <c r="E80" s="190" t="s">
        <v>190</v>
      </c>
      <c r="F80" s="58"/>
      <c r="G80" s="196"/>
      <c r="H80" s="195" t="s">
        <v>188</v>
      </c>
      <c r="I80" s="190" t="s">
        <v>189</v>
      </c>
      <c r="J80" s="190" t="s">
        <v>190</v>
      </c>
      <c r="K80" s="58"/>
      <c r="L80" s="196"/>
      <c r="M80" s="195" t="s">
        <v>188</v>
      </c>
      <c r="N80" s="190" t="s">
        <v>189</v>
      </c>
      <c r="O80" s="190" t="s">
        <v>190</v>
      </c>
      <c r="P80" s="58"/>
      <c r="Q80" s="196"/>
      <c r="R80" s="195" t="s">
        <v>188</v>
      </c>
      <c r="S80" s="190" t="s">
        <v>189</v>
      </c>
      <c r="T80" s="190" t="s">
        <v>190</v>
      </c>
      <c r="U80" s="58"/>
      <c r="V80" s="196"/>
      <c r="W80" s="195" t="s">
        <v>188</v>
      </c>
      <c r="X80" s="190" t="s">
        <v>189</v>
      </c>
      <c r="Y80" s="190" t="s">
        <v>190</v>
      </c>
      <c r="Z80" s="58"/>
      <c r="AA80" s="196"/>
      <c r="AB80" s="195" t="s">
        <v>188</v>
      </c>
      <c r="AC80" s="190" t="s">
        <v>189</v>
      </c>
      <c r="AD80" s="190" t="s">
        <v>190</v>
      </c>
      <c r="AE80" s="58"/>
      <c r="AF80" s="196"/>
      <c r="AG80" s="195" t="s">
        <v>188</v>
      </c>
      <c r="AH80" s="190" t="s">
        <v>189</v>
      </c>
      <c r="AI80" s="190" t="s">
        <v>190</v>
      </c>
      <c r="AJ80" s="58"/>
      <c r="AK80" s="196"/>
      <c r="AL80" s="195" t="s">
        <v>188</v>
      </c>
      <c r="AM80" s="190" t="s">
        <v>189</v>
      </c>
      <c r="AN80" s="190" t="s">
        <v>190</v>
      </c>
      <c r="AO80" s="58"/>
      <c r="AP80" s="196"/>
      <c r="AQ80" s="195" t="s">
        <v>188</v>
      </c>
      <c r="AR80" s="190" t="s">
        <v>189</v>
      </c>
      <c r="AS80" s="190" t="s">
        <v>190</v>
      </c>
      <c r="AT80" s="58"/>
      <c r="AU80" s="196"/>
    </row>
    <row r="81" spans="1:47" x14ac:dyDescent="0.25">
      <c r="B81" s="194" t="s">
        <v>97</v>
      </c>
      <c r="C81" s="197">
        <v>52</v>
      </c>
      <c r="D81" s="192">
        <v>64</v>
      </c>
      <c r="E81" s="336">
        <v>81.5</v>
      </c>
      <c r="F81" s="58"/>
      <c r="G81" s="196"/>
      <c r="H81" s="197">
        <v>49</v>
      </c>
      <c r="I81" s="192">
        <v>63</v>
      </c>
      <c r="J81" s="192">
        <v>80</v>
      </c>
      <c r="K81" s="58"/>
      <c r="L81" s="196"/>
      <c r="M81" s="335">
        <v>52.25</v>
      </c>
      <c r="N81" s="336">
        <v>64</v>
      </c>
      <c r="O81" s="336">
        <v>82</v>
      </c>
      <c r="P81" s="58"/>
      <c r="Q81" s="196"/>
      <c r="R81" s="197">
        <v>53</v>
      </c>
      <c r="S81" s="192">
        <v>64</v>
      </c>
      <c r="T81" s="192">
        <v>81</v>
      </c>
      <c r="U81" s="58"/>
      <c r="V81" s="196"/>
      <c r="W81" s="197">
        <v>55</v>
      </c>
      <c r="X81" s="336">
        <v>64.5</v>
      </c>
      <c r="Y81" s="192">
        <v>82</v>
      </c>
      <c r="Z81" s="58"/>
      <c r="AA81" s="196"/>
      <c r="AB81" s="197">
        <v>50</v>
      </c>
      <c r="AC81" s="192">
        <v>63</v>
      </c>
      <c r="AD81" s="192">
        <v>78</v>
      </c>
      <c r="AE81" s="58"/>
      <c r="AF81" s="196"/>
      <c r="AG81" s="197">
        <v>40</v>
      </c>
      <c r="AH81" s="192">
        <v>61</v>
      </c>
      <c r="AI81" s="192">
        <v>80</v>
      </c>
      <c r="AJ81" s="58"/>
      <c r="AK81" s="196"/>
      <c r="AL81" s="197">
        <v>50</v>
      </c>
      <c r="AM81" s="192">
        <v>66</v>
      </c>
      <c r="AN81" s="192">
        <v>82</v>
      </c>
      <c r="AO81" s="58"/>
      <c r="AP81" s="196"/>
      <c r="AQ81" s="335">
        <v>54</v>
      </c>
      <c r="AR81" s="336">
        <v>67</v>
      </c>
      <c r="AS81" s="336">
        <v>82.75</v>
      </c>
      <c r="AT81" s="58"/>
      <c r="AU81" s="196"/>
    </row>
    <row r="82" spans="1:47" x14ac:dyDescent="0.25">
      <c r="A82" s="137" t="s">
        <v>183</v>
      </c>
      <c r="B82" s="193" t="s">
        <v>191</v>
      </c>
      <c r="C82" s="200">
        <f>IF('РСБУ расчет лимита'!$J$58&gt;=Подложка!C81,1,0)</f>
        <v>1</v>
      </c>
      <c r="D82" s="200">
        <f>IF('РСБУ расчет лимита'!$J$58&gt;=Подложка!D81,1,0)</f>
        <v>1</v>
      </c>
      <c r="E82" s="200">
        <f>IF('РСБУ расчет лимита'!$J$58&gt;=Подложка!E81,1,0)</f>
        <v>1</v>
      </c>
      <c r="F82" s="191">
        <f>SUM(C82:E82)</f>
        <v>3</v>
      </c>
      <c r="G82" s="172">
        <f>IF(F82=3,1,IF(F82=2,2,IF(F82=1,3,4)))</f>
        <v>1</v>
      </c>
      <c r="H82" s="200">
        <f>IF('РСБУ расчет лимита'!$J$58&gt;=Подложка!H81,1,0)</f>
        <v>1</v>
      </c>
      <c r="I82" s="200">
        <f>IF('РСБУ расчет лимита'!$J$58&gt;=Подложка!I81,1,0)</f>
        <v>1</v>
      </c>
      <c r="J82" s="200">
        <f>IF('РСБУ расчет лимита'!$J$58&gt;=Подложка!J81,1,0)</f>
        <v>1</v>
      </c>
      <c r="K82" s="191">
        <f>SUM(H82:J82)</f>
        <v>3</v>
      </c>
      <c r="L82" s="172">
        <f>IF(K82=3,1,IF(K82=2,2,IF(K82=1,3,4)))</f>
        <v>1</v>
      </c>
      <c r="M82" s="200">
        <f>IF('РСБУ расчет лимита'!$J$58&gt;=Подложка!M81,1,0)</f>
        <v>1</v>
      </c>
      <c r="N82" s="200">
        <f>IF('РСБУ расчет лимита'!$J$58&gt;=Подложка!N81,1,0)</f>
        <v>1</v>
      </c>
      <c r="O82" s="200">
        <f>IF('РСБУ расчет лимита'!$J$58&gt;=Подложка!O81,1,0)</f>
        <v>1</v>
      </c>
      <c r="P82" s="191">
        <f>SUM(M82:O82)</f>
        <v>3</v>
      </c>
      <c r="Q82" s="172">
        <f>IF(P82=3,1,IF(P82=2,2,IF(P82=1,3,4)))</f>
        <v>1</v>
      </c>
      <c r="R82" s="200">
        <f>IF('РСБУ расчет лимита'!$J$58&gt;=Подложка!R81,1,0)</f>
        <v>1</v>
      </c>
      <c r="S82" s="200">
        <f>IF('РСБУ расчет лимита'!$J$58&gt;=Подложка!S81,1,0)</f>
        <v>1</v>
      </c>
      <c r="T82" s="200">
        <f>IF('РСБУ расчет лимита'!$J$58&gt;=Подложка!T81,1,0)</f>
        <v>1</v>
      </c>
      <c r="U82" s="191">
        <f>SUM(R82:T82)</f>
        <v>3</v>
      </c>
      <c r="V82" s="172">
        <f>IF(U82=3,1,IF(U82=2,2,IF(U82=1,3,4)))</f>
        <v>1</v>
      </c>
      <c r="W82" s="200">
        <f>IF('РСБУ расчет лимита'!$J$58&gt;=Подложка!W81,1,0)</f>
        <v>1</v>
      </c>
      <c r="X82" s="200">
        <f>IF('РСБУ расчет лимита'!$J$58&gt;=Подложка!X81,1,0)</f>
        <v>1</v>
      </c>
      <c r="Y82" s="200">
        <f>IF('РСБУ расчет лимита'!$J$58&gt;=Подложка!Y81,1,0)</f>
        <v>1</v>
      </c>
      <c r="Z82" s="191">
        <f>SUM(W82:Y82)</f>
        <v>3</v>
      </c>
      <c r="AA82" s="172">
        <f>IF(Z82=3,1,IF(Z82=2,2,IF(Z82=1,3,4)))</f>
        <v>1</v>
      </c>
      <c r="AB82" s="200">
        <f>IF('РСБУ расчет лимита'!$J$58&gt;=Подложка!AB81,1,0)</f>
        <v>1</v>
      </c>
      <c r="AC82" s="200">
        <f>IF('РСБУ расчет лимита'!$J$58&gt;=Подложка!AC81,1,0)</f>
        <v>1</v>
      </c>
      <c r="AD82" s="200">
        <f>IF('РСБУ расчет лимита'!$J$58&gt;=Подложка!AD81,1,0)</f>
        <v>1</v>
      </c>
      <c r="AE82" s="191">
        <f>SUM(AB82:AD82)</f>
        <v>3</v>
      </c>
      <c r="AF82" s="172">
        <f>IF(AE82=3,1,IF(AE82=2,2,IF(AE82=1,3,4)))</f>
        <v>1</v>
      </c>
      <c r="AG82" s="200">
        <f>IF('РСБУ расчет лимита'!$J$58&gt;=Подложка!AG81,1,0)</f>
        <v>1</v>
      </c>
      <c r="AH82" s="200">
        <f>IF('РСБУ расчет лимита'!$J$58&gt;=Подложка!AH81,1,0)</f>
        <v>1</v>
      </c>
      <c r="AI82" s="200">
        <f>IF('РСБУ расчет лимита'!$J$58&gt;=Подложка!AI81,1,0)</f>
        <v>1</v>
      </c>
      <c r="AJ82" s="191">
        <f>SUM(AG82:AI82)</f>
        <v>3</v>
      </c>
      <c r="AK82" s="172">
        <f>IF(AJ82=3,1,IF(AJ82=2,2,IF(AJ82=1,3,4)))</f>
        <v>1</v>
      </c>
      <c r="AL82" s="200">
        <f>IF('РСБУ расчет лимита'!$J$58&gt;=Подложка!AL81,1,0)</f>
        <v>1</v>
      </c>
      <c r="AM82" s="200">
        <f>IF('РСБУ расчет лимита'!$J$58&gt;=Подложка!AM81,1,0)</f>
        <v>1</v>
      </c>
      <c r="AN82" s="200">
        <f>IF('РСБУ расчет лимита'!$J$58&gt;=Подложка!AN81,1,0)</f>
        <v>1</v>
      </c>
      <c r="AO82" s="191">
        <f>SUM(AL82:AN82)</f>
        <v>3</v>
      </c>
      <c r="AP82" s="172">
        <f>IF(AO82=3,1,IF(AO82=2,2,IF(AO82=1,3,4)))</f>
        <v>1</v>
      </c>
      <c r="AQ82" s="200">
        <f>IF('РСБУ расчет лимита'!$J$58&gt;=Подложка!AQ81,1,0)</f>
        <v>1</v>
      </c>
      <c r="AR82" s="200">
        <f>IF('РСБУ расчет лимита'!$J$58&gt;=Подложка!AR81,1,0)</f>
        <v>1</v>
      </c>
      <c r="AS82" s="200">
        <f>IF('РСБУ расчет лимита'!$J$58&gt;=Подложка!AS81,1,0)</f>
        <v>1</v>
      </c>
      <c r="AT82" s="191">
        <f>SUM(AQ82:AS82)</f>
        <v>3</v>
      </c>
      <c r="AU82" s="172">
        <f>IF(AT82=3,1,IF(AT82=2,2,IF(AT82=1,3,4)))</f>
        <v>1</v>
      </c>
    </row>
    <row r="83" spans="1:47" x14ac:dyDescent="0.25">
      <c r="A83" s="137" t="s">
        <v>192</v>
      </c>
      <c r="B83" s="193" t="s">
        <v>191</v>
      </c>
      <c r="C83" s="200">
        <f>IF('РСБУ расчет лимита'!$L$58&gt;=Подложка!C82,1,0)</f>
        <v>1</v>
      </c>
      <c r="D83" s="200">
        <f>IF('РСБУ расчет лимита'!$L$58&gt;=Подложка!D82,1,0)</f>
        <v>1</v>
      </c>
      <c r="E83" s="200">
        <f>IF('РСБУ расчет лимита'!$L$58&gt;=Подложка!E82,1,0)</f>
        <v>1</v>
      </c>
      <c r="F83" s="191">
        <f>SUM(C83:E83)</f>
        <v>3</v>
      </c>
      <c r="G83" s="172">
        <f>IF(F83=3,1,IF(F83=2,2,IF(F83=1,3,4)))</f>
        <v>1</v>
      </c>
      <c r="H83" s="200">
        <f>IF('РСБУ расчет лимита'!$L$58&gt;=Подложка!H82,1,0)</f>
        <v>1</v>
      </c>
      <c r="I83" s="200">
        <f>IF('РСБУ расчет лимита'!$L$58&gt;=Подложка!I82,1,0)</f>
        <v>1</v>
      </c>
      <c r="J83" s="200">
        <f>IF('РСБУ расчет лимита'!$L$58&gt;=Подложка!J82,1,0)</f>
        <v>1</v>
      </c>
      <c r="K83" s="191">
        <f>SUM(H83:J83)</f>
        <v>3</v>
      </c>
      <c r="L83" s="172">
        <f>IF(K83=3,1,IF(K83=2,2,IF(K83=1,3,4)))</f>
        <v>1</v>
      </c>
      <c r="M83" s="200">
        <f>IF('РСБУ расчет лимита'!$L$58&gt;=Подложка!M82,1,0)</f>
        <v>1</v>
      </c>
      <c r="N83" s="200">
        <f>IF('РСБУ расчет лимита'!$L$58&gt;=Подложка!N82,1,0)</f>
        <v>1</v>
      </c>
      <c r="O83" s="200">
        <f>IF('РСБУ расчет лимита'!$L$58&gt;=Подложка!O82,1,0)</f>
        <v>1</v>
      </c>
      <c r="P83" s="191">
        <f>SUM(M83:O83)</f>
        <v>3</v>
      </c>
      <c r="Q83" s="172">
        <f>IF(P83=3,1,IF(P83=2,2,IF(P83=1,3,4)))</f>
        <v>1</v>
      </c>
      <c r="R83" s="200">
        <f>IF('РСБУ расчет лимита'!$L$58&gt;=Подложка!R82,1,0)</f>
        <v>1</v>
      </c>
      <c r="S83" s="200">
        <f>IF('РСБУ расчет лимита'!$L$58&gt;=Подложка!S82,1,0)</f>
        <v>1</v>
      </c>
      <c r="T83" s="200">
        <f>IF('РСБУ расчет лимита'!$L$58&gt;=Подложка!T82,1,0)</f>
        <v>1</v>
      </c>
      <c r="U83" s="191">
        <f>SUM(R83:T83)</f>
        <v>3</v>
      </c>
      <c r="V83" s="172">
        <f>IF(U83=3,1,IF(U83=2,2,IF(U83=1,3,4)))</f>
        <v>1</v>
      </c>
      <c r="W83" s="200">
        <f>IF('РСБУ расчет лимита'!$L$58&gt;=Подложка!W82,1,0)</f>
        <v>1</v>
      </c>
      <c r="X83" s="200">
        <f>IF('РСБУ расчет лимита'!$L$58&gt;=Подложка!X82,1,0)</f>
        <v>1</v>
      </c>
      <c r="Y83" s="200">
        <f>IF('РСБУ расчет лимита'!$L$58&gt;=Подложка!Y82,1,0)</f>
        <v>1</v>
      </c>
      <c r="Z83" s="191">
        <f>SUM(W83:Y83)</f>
        <v>3</v>
      </c>
      <c r="AA83" s="172">
        <f>IF(Z83=3,1,IF(Z83=2,2,IF(Z83=1,3,4)))</f>
        <v>1</v>
      </c>
      <c r="AB83" s="200">
        <f>IF('РСБУ расчет лимита'!$L$58&gt;=Подложка!AB82,1,0)</f>
        <v>1</v>
      </c>
      <c r="AC83" s="200">
        <f>IF('РСБУ расчет лимита'!$L$58&gt;=Подложка!AC82,1,0)</f>
        <v>1</v>
      </c>
      <c r="AD83" s="200">
        <f>IF('РСБУ расчет лимита'!$L$58&gt;=Подложка!AD82,1,0)</f>
        <v>1</v>
      </c>
      <c r="AE83" s="191">
        <f>SUM(AB83:AD83)</f>
        <v>3</v>
      </c>
      <c r="AF83" s="172">
        <f>IF(AE83=3,1,IF(AE83=2,2,IF(AE83=1,3,4)))</f>
        <v>1</v>
      </c>
      <c r="AG83" s="200">
        <f>IF('РСБУ расчет лимита'!$L$58&gt;=Подложка!AG82,1,0)</f>
        <v>1</v>
      </c>
      <c r="AH83" s="200">
        <f>IF('РСБУ расчет лимита'!$L$58&gt;=Подложка!AH82,1,0)</f>
        <v>1</v>
      </c>
      <c r="AI83" s="200">
        <f>IF('РСБУ расчет лимита'!$L$58&gt;=Подложка!AI82,1,0)</f>
        <v>1</v>
      </c>
      <c r="AJ83" s="191">
        <f>SUM(AG83:AI83)</f>
        <v>3</v>
      </c>
      <c r="AK83" s="172">
        <f>IF(AJ83=3,1,IF(AJ83=2,2,IF(AJ83=1,3,4)))</f>
        <v>1</v>
      </c>
      <c r="AL83" s="200">
        <f>IF('РСБУ расчет лимита'!$L$58&gt;=Подложка!AL82,1,0)</f>
        <v>1</v>
      </c>
      <c r="AM83" s="200">
        <f>IF('РСБУ расчет лимита'!$L$58&gt;=Подложка!AM82,1,0)</f>
        <v>1</v>
      </c>
      <c r="AN83" s="200">
        <f>IF('РСБУ расчет лимита'!$L$58&gt;=Подложка!AN82,1,0)</f>
        <v>1</v>
      </c>
      <c r="AO83" s="191">
        <f>SUM(AL83:AN83)</f>
        <v>3</v>
      </c>
      <c r="AP83" s="172">
        <f>IF(AO83=3,1,IF(AO83=2,2,IF(AO83=1,3,4)))</f>
        <v>1</v>
      </c>
      <c r="AQ83" s="200">
        <f>IF('РСБУ расчет лимита'!$L$58&gt;=Подложка!AQ82,1,0)</f>
        <v>1</v>
      </c>
      <c r="AR83" s="200">
        <f>IF('РСБУ расчет лимита'!$L$58&gt;=Подложка!AR82,1,0)</f>
        <v>1</v>
      </c>
      <c r="AS83" s="200">
        <f>IF('РСБУ расчет лимита'!$L$58&gt;=Подложка!AS82,1,0)</f>
        <v>1</v>
      </c>
      <c r="AT83" s="191">
        <f>SUM(AQ83:AS83)</f>
        <v>3</v>
      </c>
      <c r="AU83" s="172">
        <f>IF(AT83=3,1,IF(AT83=2,2,IF(AT83=1,3,4)))</f>
        <v>1</v>
      </c>
    </row>
    <row r="84" spans="1:47" ht="15.75" thickBot="1" x14ac:dyDescent="0.3">
      <c r="A84" s="137"/>
      <c r="B84" s="193"/>
      <c r="C84" s="200"/>
      <c r="D84" s="200"/>
      <c r="E84" s="200"/>
      <c r="F84" s="199"/>
      <c r="G84" s="174"/>
      <c r="H84" s="201"/>
      <c r="I84" s="198"/>
      <c r="J84" s="235"/>
      <c r="K84" s="199"/>
      <c r="L84" s="174"/>
      <c r="M84" s="201"/>
      <c r="N84" s="198"/>
      <c r="O84" s="235"/>
      <c r="P84" s="199"/>
      <c r="Q84" s="174"/>
      <c r="R84" s="201"/>
      <c r="S84" s="198"/>
      <c r="T84" s="235"/>
      <c r="U84" s="199"/>
      <c r="V84" s="174"/>
      <c r="W84" s="201"/>
      <c r="X84" s="198"/>
      <c r="Y84" s="235"/>
      <c r="Z84" s="199"/>
      <c r="AA84" s="174"/>
      <c r="AB84" s="201"/>
      <c r="AC84" s="198"/>
      <c r="AD84" s="235"/>
      <c r="AE84" s="199"/>
      <c r="AF84" s="174"/>
      <c r="AG84" s="201"/>
      <c r="AH84" s="198"/>
      <c r="AI84" s="235"/>
      <c r="AJ84" s="199"/>
      <c r="AK84" s="174"/>
      <c r="AL84" s="201"/>
      <c r="AM84" s="198"/>
      <c r="AN84" s="235"/>
      <c r="AO84" s="199"/>
      <c r="AP84" s="174"/>
      <c r="AQ84" s="201"/>
      <c r="AR84" s="198"/>
      <c r="AS84" s="235"/>
      <c r="AT84" s="199"/>
      <c r="AU84" s="174"/>
    </row>
    <row r="87" spans="1:47" ht="15.75" thickBot="1" x14ac:dyDescent="0.3"/>
    <row r="88" spans="1:47" x14ac:dyDescent="0.25">
      <c r="A88" s="208" t="s">
        <v>199</v>
      </c>
      <c r="C88" s="421" t="s">
        <v>159</v>
      </c>
      <c r="D88" s="422"/>
      <c r="E88" s="422"/>
      <c r="F88" s="422"/>
      <c r="G88" s="423"/>
      <c r="H88" s="421" t="s">
        <v>160</v>
      </c>
      <c r="I88" s="422"/>
      <c r="J88" s="422"/>
      <c r="K88" s="422"/>
      <c r="L88" s="423"/>
      <c r="M88" s="421" t="s">
        <v>161</v>
      </c>
      <c r="N88" s="422"/>
      <c r="O88" s="422"/>
      <c r="P88" s="422"/>
      <c r="Q88" s="423"/>
      <c r="R88" s="421" t="s">
        <v>162</v>
      </c>
      <c r="S88" s="422"/>
      <c r="T88" s="422"/>
      <c r="U88" s="422"/>
      <c r="V88" s="423"/>
      <c r="W88" s="421" t="s">
        <v>207</v>
      </c>
      <c r="X88" s="422"/>
      <c r="Y88" s="422"/>
      <c r="Z88" s="422"/>
      <c r="AA88" s="423"/>
      <c r="AB88" s="421" t="s">
        <v>163</v>
      </c>
      <c r="AC88" s="422"/>
      <c r="AD88" s="422"/>
      <c r="AE88" s="422"/>
      <c r="AF88" s="423"/>
      <c r="AG88" s="421" t="s">
        <v>164</v>
      </c>
      <c r="AH88" s="422"/>
      <c r="AI88" s="422"/>
      <c r="AJ88" s="422"/>
      <c r="AK88" s="423"/>
      <c r="AL88" s="421" t="s">
        <v>165</v>
      </c>
      <c r="AM88" s="422"/>
      <c r="AN88" s="422"/>
      <c r="AO88" s="422"/>
      <c r="AP88" s="423"/>
      <c r="AQ88" s="421" t="s">
        <v>262</v>
      </c>
      <c r="AR88" s="422"/>
      <c r="AS88" s="422"/>
      <c r="AT88" s="422"/>
      <c r="AU88" s="423"/>
    </row>
    <row r="89" spans="1:47" ht="45" customHeight="1" x14ac:dyDescent="0.25">
      <c r="A89" s="152" t="s">
        <v>184</v>
      </c>
      <c r="B89" s="153" t="s">
        <v>166</v>
      </c>
      <c r="C89" s="424" t="s">
        <v>167</v>
      </c>
      <c r="D89" s="425"/>
      <c r="E89" s="425"/>
      <c r="F89" s="425"/>
      <c r="G89" s="426"/>
      <c r="H89" s="424" t="s">
        <v>168</v>
      </c>
      <c r="I89" s="425"/>
      <c r="J89" s="425"/>
      <c r="K89" s="425"/>
      <c r="L89" s="426"/>
      <c r="M89" s="424" t="s">
        <v>169</v>
      </c>
      <c r="N89" s="425"/>
      <c r="O89" s="425"/>
      <c r="P89" s="425"/>
      <c r="Q89" s="426"/>
      <c r="R89" s="424" t="s">
        <v>170</v>
      </c>
      <c r="S89" s="425"/>
      <c r="T89" s="425"/>
      <c r="U89" s="425"/>
      <c r="V89" s="426"/>
      <c r="W89" s="424" t="s">
        <v>171</v>
      </c>
      <c r="X89" s="425"/>
      <c r="Y89" s="425"/>
      <c r="Z89" s="425"/>
      <c r="AA89" s="426"/>
      <c r="AB89" s="424" t="s">
        <v>172</v>
      </c>
      <c r="AC89" s="425"/>
      <c r="AD89" s="425"/>
      <c r="AE89" s="425"/>
      <c r="AF89" s="426"/>
      <c r="AG89" s="424" t="s">
        <v>173</v>
      </c>
      <c r="AH89" s="425"/>
      <c r="AI89" s="425"/>
      <c r="AJ89" s="425"/>
      <c r="AK89" s="426"/>
      <c r="AL89" s="424" t="s">
        <v>174</v>
      </c>
      <c r="AM89" s="425"/>
      <c r="AN89" s="425"/>
      <c r="AO89" s="425"/>
      <c r="AP89" s="426"/>
      <c r="AQ89" s="424" t="s">
        <v>263</v>
      </c>
      <c r="AR89" s="425"/>
      <c r="AS89" s="425"/>
      <c r="AT89" s="425"/>
      <c r="AU89" s="426"/>
    </row>
    <row r="90" spans="1:47" x14ac:dyDescent="0.25">
      <c r="A90" s="152"/>
      <c r="B90" s="153" t="s">
        <v>97</v>
      </c>
      <c r="C90" s="147">
        <v>40</v>
      </c>
      <c r="D90" s="148">
        <v>70</v>
      </c>
      <c r="E90" s="155">
        <v>100</v>
      </c>
      <c r="F90" s="179"/>
      <c r="G90" s="180"/>
      <c r="H90" s="147">
        <v>40</v>
      </c>
      <c r="I90" s="148">
        <v>70</v>
      </c>
      <c r="J90" s="155">
        <v>100</v>
      </c>
      <c r="K90" s="179"/>
      <c r="L90" s="180"/>
      <c r="M90" s="147">
        <v>40</v>
      </c>
      <c r="N90" s="148">
        <v>70</v>
      </c>
      <c r="O90" s="155">
        <v>100</v>
      </c>
      <c r="P90" s="179"/>
      <c r="Q90" s="180"/>
      <c r="R90" s="147">
        <v>40</v>
      </c>
      <c r="S90" s="148">
        <v>70</v>
      </c>
      <c r="T90" s="155">
        <v>100</v>
      </c>
      <c r="U90" s="179"/>
      <c r="V90" s="180"/>
      <c r="W90" s="147">
        <v>40</v>
      </c>
      <c r="X90" s="148">
        <v>70</v>
      </c>
      <c r="Y90" s="155">
        <v>100</v>
      </c>
      <c r="Z90" s="179"/>
      <c r="AA90" s="180"/>
      <c r="AB90" s="147">
        <v>40</v>
      </c>
      <c r="AC90" s="148">
        <v>70</v>
      </c>
      <c r="AD90" s="155">
        <v>100</v>
      </c>
      <c r="AE90" s="179"/>
      <c r="AF90" s="180"/>
      <c r="AG90" s="147">
        <v>40</v>
      </c>
      <c r="AH90" s="148">
        <v>70</v>
      </c>
      <c r="AI90" s="155">
        <v>100</v>
      </c>
      <c r="AJ90" s="179"/>
      <c r="AK90" s="180"/>
      <c r="AL90" s="147">
        <v>40</v>
      </c>
      <c r="AM90" s="148">
        <v>70</v>
      </c>
      <c r="AN90" s="155">
        <v>100</v>
      </c>
      <c r="AO90" s="179"/>
      <c r="AP90" s="180"/>
      <c r="AQ90" s="147">
        <v>40</v>
      </c>
      <c r="AR90" s="148">
        <v>70</v>
      </c>
      <c r="AS90" s="155">
        <v>100</v>
      </c>
      <c r="AT90" s="179"/>
      <c r="AU90" s="180"/>
    </row>
    <row r="91" spans="1:47" x14ac:dyDescent="0.25">
      <c r="A91" s="165" t="s">
        <v>183</v>
      </c>
      <c r="C91" s="164"/>
      <c r="D91" s="58"/>
      <c r="E91" s="58"/>
      <c r="F91" s="169" t="s">
        <v>185</v>
      </c>
      <c r="G91" s="170" t="s">
        <v>186</v>
      </c>
      <c r="H91" s="164"/>
      <c r="I91" s="58"/>
      <c r="J91" s="58"/>
      <c r="K91" s="169" t="s">
        <v>185</v>
      </c>
      <c r="L91" s="170" t="s">
        <v>186</v>
      </c>
      <c r="M91" s="164"/>
      <c r="N91" s="58"/>
      <c r="O91" s="58"/>
      <c r="P91" s="169" t="s">
        <v>185</v>
      </c>
      <c r="Q91" s="170" t="s">
        <v>186</v>
      </c>
      <c r="R91" s="164"/>
      <c r="S91" s="58"/>
      <c r="T91" s="58"/>
      <c r="U91" s="169" t="s">
        <v>185</v>
      </c>
      <c r="V91" s="170" t="s">
        <v>186</v>
      </c>
      <c r="W91" s="164"/>
      <c r="X91" s="58"/>
      <c r="Y91" s="58"/>
      <c r="Z91" s="169" t="s">
        <v>185</v>
      </c>
      <c r="AA91" s="170" t="s">
        <v>186</v>
      </c>
      <c r="AB91" s="164"/>
      <c r="AC91" s="58"/>
      <c r="AD91" s="58"/>
      <c r="AE91" s="169" t="s">
        <v>185</v>
      </c>
      <c r="AF91" s="170" t="s">
        <v>186</v>
      </c>
      <c r="AG91" s="164"/>
      <c r="AH91" s="58"/>
      <c r="AI91" s="58"/>
      <c r="AJ91" s="169" t="s">
        <v>185</v>
      </c>
      <c r="AK91" s="170" t="s">
        <v>186</v>
      </c>
      <c r="AL91" s="164"/>
      <c r="AM91" s="58"/>
      <c r="AN91" s="58"/>
      <c r="AO91" s="169" t="s">
        <v>185</v>
      </c>
      <c r="AP91" s="170" t="s">
        <v>186</v>
      </c>
      <c r="AQ91" s="164"/>
      <c r="AR91" s="58"/>
      <c r="AS91" s="58"/>
      <c r="AT91" s="169" t="s">
        <v>185</v>
      </c>
      <c r="AU91" s="170" t="s">
        <v>186</v>
      </c>
    </row>
    <row r="92" spans="1:47" ht="45" x14ac:dyDescent="0.25">
      <c r="A92" s="149" t="s">
        <v>175</v>
      </c>
      <c r="B92" s="270" t="s">
        <v>234</v>
      </c>
      <c r="C92" s="209">
        <f>IF('МСФО отчетность'!$E$64&gt;=Подложка!C35,1,0)</f>
        <v>1</v>
      </c>
      <c r="D92" s="156">
        <f>IF('МСФО отчетность'!$E$64&gt;=Подложка!D35,1,0)</f>
        <v>1</v>
      </c>
      <c r="E92" s="234">
        <f>IF('МСФО отчетность'!$E$64&gt;=Подложка!E35,1,0)</f>
        <v>1</v>
      </c>
      <c r="F92" s="171">
        <f t="shared" ref="F92:F100" si="36">SUM(C92:E92)</f>
        <v>3</v>
      </c>
      <c r="G92" s="172">
        <f t="shared" ref="G92:G100" si="37">IF(F92=3,100,IF(F92=2,70,IF(F92=1,40,0)))</f>
        <v>100</v>
      </c>
      <c r="H92" s="209">
        <f>IF('МСФО отчетность'!$E$64&gt;=Подложка!H35,1,0)</f>
        <v>1</v>
      </c>
      <c r="I92" s="156">
        <f>IF('МСФО отчетность'!$E$64&gt;=Подложка!I35,1,0)</f>
        <v>1</v>
      </c>
      <c r="J92" s="234">
        <f>IF('МСФО отчетность'!$E$64&gt;=Подложка!J35,1,0)</f>
        <v>1</v>
      </c>
      <c r="K92" s="171">
        <f t="shared" ref="K92:K97" si="38">SUM(H92:J92)</f>
        <v>3</v>
      </c>
      <c r="L92" s="172">
        <f t="shared" ref="L92:L100" si="39">IF(K92=3,100,IF(K92=2,70,IF(K92=1,40,0)))</f>
        <v>100</v>
      </c>
      <c r="M92" s="209">
        <f>IF('МСФО отчетность'!$E$64&gt;=Подложка!M35,1,0)</f>
        <v>1</v>
      </c>
      <c r="N92" s="156">
        <f>IF('МСФО отчетность'!$E$64&gt;=Подложка!N35,1,0)</f>
        <v>1</v>
      </c>
      <c r="O92" s="234">
        <f>IF('МСФО отчетность'!$E$64&gt;=Подложка!O35,1,0)</f>
        <v>1</v>
      </c>
      <c r="P92" s="171">
        <f t="shared" ref="P92:P97" si="40">SUM(M92:O92)</f>
        <v>3</v>
      </c>
      <c r="Q92" s="172">
        <f t="shared" ref="Q92:Q100" si="41">IF(P92=3,100,IF(P92=2,70,IF(P92=1,40,0)))</f>
        <v>100</v>
      </c>
      <c r="R92" s="209">
        <f>IF('МСФО отчетность'!$E$64&gt;=Подложка!R35,1,0)</f>
        <v>1</v>
      </c>
      <c r="S92" s="156">
        <f>IF('МСФО отчетность'!$E$64&gt;=Подложка!S35,1,0)</f>
        <v>1</v>
      </c>
      <c r="T92" s="234">
        <f>IF('МСФО отчетность'!$E$64&gt;=Подложка!T35,1,0)</f>
        <v>1</v>
      </c>
      <c r="U92" s="171">
        <f t="shared" ref="U92:U97" si="42">SUM(R92:T92)</f>
        <v>3</v>
      </c>
      <c r="V92" s="172">
        <f t="shared" ref="V92:V100" si="43">IF(U92=3,100,IF(U92=2,70,IF(U92=1,40,0)))</f>
        <v>100</v>
      </c>
      <c r="W92" s="209">
        <f>IF('МСФО отчетность'!$E$64&gt;=Подложка!W35,1,0)</f>
        <v>1</v>
      </c>
      <c r="X92" s="156">
        <f>IF('МСФО отчетность'!$E$64&gt;=Подложка!X35,1,0)</f>
        <v>1</v>
      </c>
      <c r="Y92" s="234">
        <f>IF('МСФО отчетность'!$E$64&gt;=Подложка!Y35,1,0)</f>
        <v>1</v>
      </c>
      <c r="Z92" s="171">
        <f t="shared" ref="Z92:Z97" si="44">SUM(W92:Y92)</f>
        <v>3</v>
      </c>
      <c r="AA92" s="172">
        <f t="shared" ref="AA92:AA100" si="45">IF(Z92=3,100,IF(Z92=2,70,IF(Z92=1,40,0)))</f>
        <v>100</v>
      </c>
      <c r="AB92" s="209">
        <f>IF('МСФО отчетность'!$E$64&gt;=Подложка!AB35,1,0)</f>
        <v>1</v>
      </c>
      <c r="AC92" s="156">
        <f>IF('МСФО отчетность'!$E$64&gt;=Подложка!AC35,1,0)</f>
        <v>1</v>
      </c>
      <c r="AD92" s="234">
        <f>IF('МСФО отчетность'!$E$64&gt;=Подложка!AD35,1,0)</f>
        <v>1</v>
      </c>
      <c r="AE92" s="171">
        <f t="shared" ref="AE92:AE97" si="46">SUM(AB92:AD92)</f>
        <v>3</v>
      </c>
      <c r="AF92" s="172">
        <f t="shared" ref="AF92:AF100" si="47">IF(AE92=3,100,IF(AE92=2,70,IF(AE92=1,40,0)))</f>
        <v>100</v>
      </c>
      <c r="AG92" s="209">
        <f>IF('МСФО отчетность'!$E$64&gt;=Подложка!AG35,1,0)</f>
        <v>1</v>
      </c>
      <c r="AH92" s="156">
        <f>IF('МСФО отчетность'!$E$64&gt;=Подложка!AH35,1,0)</f>
        <v>1</v>
      </c>
      <c r="AI92" s="234">
        <f>IF('МСФО отчетность'!$E$64&gt;=Подложка!AI35,1,0)</f>
        <v>1</v>
      </c>
      <c r="AJ92" s="171">
        <f t="shared" ref="AJ92:AJ97" si="48">SUM(AG92:AI92)</f>
        <v>3</v>
      </c>
      <c r="AK92" s="172">
        <f t="shared" ref="AK92:AK100" si="49">IF(AJ92=3,100,IF(AJ92=2,70,IF(AJ92=1,40,0)))</f>
        <v>100</v>
      </c>
      <c r="AL92" s="209">
        <f>IF('МСФО отчетность'!$E$64&gt;=Подложка!AL35,1,0)</f>
        <v>1</v>
      </c>
      <c r="AM92" s="156">
        <f>IF('МСФО отчетность'!$E$64&gt;=Подложка!AM35,1,0)</f>
        <v>1</v>
      </c>
      <c r="AN92" s="234">
        <f>IF('МСФО отчетность'!$E$64&gt;=Подложка!AN35,1,0)</f>
        <v>0</v>
      </c>
      <c r="AO92" s="171">
        <f t="shared" ref="AO92:AO97" si="50">SUM(AL92:AN92)</f>
        <v>2</v>
      </c>
      <c r="AP92" s="172">
        <f t="shared" ref="AP92:AP100" si="51">IF(AO92=3,100,IF(AO92=2,70,IF(AO92=1,40,0)))</f>
        <v>70</v>
      </c>
      <c r="AQ92" s="209">
        <f>IF('МСФО отчетность'!$E$64&gt;=Подложка!AQ35,1,0)</f>
        <v>1</v>
      </c>
      <c r="AR92" s="156">
        <f>IF('МСФО отчетность'!$E$64&gt;=Подложка!AR35,1,0)</f>
        <v>1</v>
      </c>
      <c r="AS92" s="234">
        <f>IF('МСФО отчетность'!$E$64&gt;=Подложка!AS35,1,0)</f>
        <v>0</v>
      </c>
      <c r="AT92" s="171">
        <f t="shared" ref="AT92:AT97" si="52">SUM(AQ92:AS92)</f>
        <v>2</v>
      </c>
      <c r="AU92" s="172">
        <f t="shared" ref="AU92:AU100" si="53">IF(AT92=3,100,IF(AT92=2,70,IF(AT92=1,40,0)))</f>
        <v>70</v>
      </c>
    </row>
    <row r="93" spans="1:47" ht="45" x14ac:dyDescent="0.25">
      <c r="A93" s="149" t="s">
        <v>176</v>
      </c>
      <c r="B93" s="271" t="s">
        <v>4</v>
      </c>
      <c r="C93" s="209">
        <f>IF('МСФО отчетность'!$E$65&gt;=Подложка!C36,1,0)</f>
        <v>1</v>
      </c>
      <c r="D93" s="156">
        <f>IF('МСФО отчетность'!$E$65&gt;=Подложка!D36,1,0)</f>
        <v>1</v>
      </c>
      <c r="E93" s="234">
        <f>IF('МСФО отчетность'!$E$65&gt;=Подложка!E36,1,0)</f>
        <v>1</v>
      </c>
      <c r="F93" s="171">
        <f t="shared" si="36"/>
        <v>3</v>
      </c>
      <c r="G93" s="172">
        <f t="shared" si="37"/>
        <v>100</v>
      </c>
      <c r="H93" s="209">
        <f>IF('МСФО отчетность'!$E$65&gt;=Подложка!H36,1,0)</f>
        <v>1</v>
      </c>
      <c r="I93" s="156">
        <f>IF('МСФО отчетность'!$E$65&gt;=Подложка!I36,1,0)</f>
        <v>1</v>
      </c>
      <c r="J93" s="234">
        <f>IF('МСФО отчетность'!$E$65&gt;=Подложка!J36,1,0)</f>
        <v>1</v>
      </c>
      <c r="K93" s="171">
        <f t="shared" si="38"/>
        <v>3</v>
      </c>
      <c r="L93" s="172">
        <f t="shared" si="39"/>
        <v>100</v>
      </c>
      <c r="M93" s="209">
        <f>IF('МСФО отчетность'!$E$65&gt;=Подложка!M36,1,0)</f>
        <v>1</v>
      </c>
      <c r="N93" s="156">
        <f>IF('МСФО отчетность'!$E$65&gt;=Подложка!N36,1,0)</f>
        <v>1</v>
      </c>
      <c r="O93" s="234">
        <f>IF('МСФО отчетность'!$E$65&gt;=Подложка!O36,1,0)</f>
        <v>1</v>
      </c>
      <c r="P93" s="171">
        <f t="shared" si="40"/>
        <v>3</v>
      </c>
      <c r="Q93" s="172">
        <f t="shared" si="41"/>
        <v>100</v>
      </c>
      <c r="R93" s="209">
        <f>IF('МСФО отчетность'!$E$65&gt;=Подложка!R36,1,0)</f>
        <v>1</v>
      </c>
      <c r="S93" s="156">
        <f>IF('МСФО отчетность'!$E$65&gt;=Подложка!S36,1,0)</f>
        <v>1</v>
      </c>
      <c r="T93" s="234">
        <f>IF('МСФО отчетность'!$E$65&gt;=Подложка!T36,1,0)</f>
        <v>1</v>
      </c>
      <c r="U93" s="171">
        <f t="shared" si="42"/>
        <v>3</v>
      </c>
      <c r="V93" s="172">
        <f t="shared" si="43"/>
        <v>100</v>
      </c>
      <c r="W93" s="209">
        <f>IF('МСФО отчетность'!$E$65&gt;=Подложка!W36,1,0)</f>
        <v>1</v>
      </c>
      <c r="X93" s="156">
        <f>IF('МСФО отчетность'!$E$65&gt;=Подложка!X36,1,0)</f>
        <v>1</v>
      </c>
      <c r="Y93" s="234">
        <f>IF('МСФО отчетность'!$E$65&gt;=Подложка!Y36,1,0)</f>
        <v>1</v>
      </c>
      <c r="Z93" s="171">
        <f t="shared" si="44"/>
        <v>3</v>
      </c>
      <c r="AA93" s="172">
        <f t="shared" si="45"/>
        <v>100</v>
      </c>
      <c r="AB93" s="209">
        <f>IF('МСФО отчетность'!$E$65&gt;=Подложка!AB36,1,0)</f>
        <v>1</v>
      </c>
      <c r="AC93" s="156">
        <f>IF('МСФО отчетность'!$E$65&gt;=Подложка!AC36,1,0)</f>
        <v>1</v>
      </c>
      <c r="AD93" s="234">
        <f>IF('МСФО отчетность'!$E$65&gt;=Подложка!AD36,1,0)</f>
        <v>0</v>
      </c>
      <c r="AE93" s="171">
        <f t="shared" si="46"/>
        <v>2</v>
      </c>
      <c r="AF93" s="172">
        <f t="shared" si="47"/>
        <v>70</v>
      </c>
      <c r="AG93" s="209">
        <f>IF('МСФО отчетность'!$E$65&gt;=Подложка!AG36,1,0)</f>
        <v>1</v>
      </c>
      <c r="AH93" s="156">
        <f>IF('МСФО отчетность'!$E$65&gt;=Подложка!AH36,1,0)</f>
        <v>1</v>
      </c>
      <c r="AI93" s="234">
        <f>IF('МСФО отчетность'!$E$65&gt;=Подложка!AI36,1,0)</f>
        <v>0</v>
      </c>
      <c r="AJ93" s="171">
        <f t="shared" si="48"/>
        <v>2</v>
      </c>
      <c r="AK93" s="172">
        <f t="shared" si="49"/>
        <v>70</v>
      </c>
      <c r="AL93" s="209">
        <f>IF('МСФО отчетность'!$E$65&gt;=Подложка!AL36,1,0)</f>
        <v>1</v>
      </c>
      <c r="AM93" s="156">
        <f>IF('МСФО отчетность'!$E$65&gt;=Подложка!AM36,1,0)</f>
        <v>1</v>
      </c>
      <c r="AN93" s="234">
        <f>IF('МСФО отчетность'!$E$65&gt;=Подложка!AN36,1,0)</f>
        <v>0</v>
      </c>
      <c r="AO93" s="171">
        <f t="shared" si="50"/>
        <v>2</v>
      </c>
      <c r="AP93" s="172">
        <f t="shared" si="51"/>
        <v>70</v>
      </c>
      <c r="AQ93" s="209">
        <f>IF('МСФО отчетность'!$E$65&gt;=Подложка!AQ36,1,0)</f>
        <v>1</v>
      </c>
      <c r="AR93" s="156">
        <f>IF('МСФО отчетность'!$E$65&gt;=Подложка!AR36,1,0)</f>
        <v>1</v>
      </c>
      <c r="AS93" s="234">
        <f>IF('МСФО отчетность'!$E$65&gt;=Подложка!AS36,1,0)</f>
        <v>0</v>
      </c>
      <c r="AT93" s="171">
        <f t="shared" si="52"/>
        <v>2</v>
      </c>
      <c r="AU93" s="172">
        <f t="shared" si="53"/>
        <v>70</v>
      </c>
    </row>
    <row r="94" spans="1:47" ht="45" x14ac:dyDescent="0.25">
      <c r="A94" s="149" t="s">
        <v>177</v>
      </c>
      <c r="B94" s="435" t="s">
        <v>343</v>
      </c>
      <c r="C94" s="209">
        <f>IF('МСФО отчетность'!$E$66&lt;Подложка!C37,1,0)</f>
        <v>0</v>
      </c>
      <c r="D94" s="156">
        <f>IF('МСФО отчетность'!$E$66&lt;Подложка!D37,1,0)</f>
        <v>0</v>
      </c>
      <c r="E94" s="234">
        <f>IF('МСФО отчетность'!$E$66&lt;Подложка!E37,1,0)</f>
        <v>0</v>
      </c>
      <c r="F94" s="171">
        <f t="shared" si="36"/>
        <v>0</v>
      </c>
      <c r="G94" s="172">
        <f t="shared" si="37"/>
        <v>0</v>
      </c>
      <c r="H94" s="209">
        <f>IF('МСФО отчетность'!$E$66&lt;Подложка!H37,1,0)</f>
        <v>0</v>
      </c>
      <c r="I94" s="156">
        <f>IF('МСФО отчетность'!$E$66&lt;Подложка!I37,1,0)</f>
        <v>0</v>
      </c>
      <c r="J94" s="234">
        <f>IF('МСФО отчетность'!$E$66&lt;Подложка!J37,1,0)</f>
        <v>0</v>
      </c>
      <c r="K94" s="171">
        <f t="shared" si="38"/>
        <v>0</v>
      </c>
      <c r="L94" s="172">
        <f t="shared" si="39"/>
        <v>0</v>
      </c>
      <c r="M94" s="209">
        <f>IF('МСФО отчетность'!$E$66&lt;Подложка!M37,1,0)</f>
        <v>0</v>
      </c>
      <c r="N94" s="156">
        <f>IF('МСФО отчетность'!$E$66&lt;Подложка!N37,1,0)</f>
        <v>0</v>
      </c>
      <c r="O94" s="234">
        <f>IF('МСФО отчетность'!$E$66&lt;Подложка!O37,1,0)</f>
        <v>0</v>
      </c>
      <c r="P94" s="171">
        <f t="shared" si="40"/>
        <v>0</v>
      </c>
      <c r="Q94" s="172">
        <f t="shared" si="41"/>
        <v>0</v>
      </c>
      <c r="R94" s="209">
        <f>IF('МСФО отчетность'!$E$66&lt;Подложка!R37,1,0)</f>
        <v>0</v>
      </c>
      <c r="S94" s="156">
        <f>IF('МСФО отчетность'!$E$66&lt;Подложка!S37,1,0)</f>
        <v>0</v>
      </c>
      <c r="T94" s="234">
        <f>IF('МСФО отчетность'!$E$66&lt;Подложка!T37,1,0)</f>
        <v>0</v>
      </c>
      <c r="U94" s="171">
        <f t="shared" si="42"/>
        <v>0</v>
      </c>
      <c r="V94" s="172">
        <f t="shared" si="43"/>
        <v>0</v>
      </c>
      <c r="W94" s="209">
        <f>IF('МСФО отчетность'!$E$66&lt;Подложка!W37,1,0)</f>
        <v>0</v>
      </c>
      <c r="X94" s="156">
        <f>IF('МСФО отчетность'!$E$66&lt;Подложка!X37,1,0)</f>
        <v>0</v>
      </c>
      <c r="Y94" s="234">
        <f>IF('МСФО отчетность'!$E$66&lt;Подложка!Y37,1,0)</f>
        <v>0</v>
      </c>
      <c r="Z94" s="171">
        <f t="shared" si="44"/>
        <v>0</v>
      </c>
      <c r="AA94" s="172">
        <f t="shared" si="45"/>
        <v>0</v>
      </c>
      <c r="AB94" s="209">
        <f>IF('МСФО отчетность'!$E$66&lt;Подложка!AB37,1,0)</f>
        <v>0</v>
      </c>
      <c r="AC94" s="156">
        <f>IF('МСФО отчетность'!$E$66&lt;Подложка!AC37,1,0)</f>
        <v>0</v>
      </c>
      <c r="AD94" s="234">
        <f>IF('МСФО отчетность'!$E$66&lt;Подложка!AD37,1,0)</f>
        <v>0</v>
      </c>
      <c r="AE94" s="171">
        <f t="shared" si="46"/>
        <v>0</v>
      </c>
      <c r="AF94" s="172">
        <f t="shared" si="47"/>
        <v>0</v>
      </c>
      <c r="AG94" s="209">
        <f>IF('МСФО отчетность'!$E$66&lt;Подложка!AG37,1,0)</f>
        <v>0</v>
      </c>
      <c r="AH94" s="156">
        <f>IF('МСФО отчетность'!$E$66&lt;Подложка!AH37,1,0)</f>
        <v>0</v>
      </c>
      <c r="AI94" s="234">
        <f>IF('МСФО отчетность'!$E$66&lt;Подложка!AI37,1,0)</f>
        <v>0</v>
      </c>
      <c r="AJ94" s="171">
        <f t="shared" si="48"/>
        <v>0</v>
      </c>
      <c r="AK94" s="172">
        <f t="shared" si="49"/>
        <v>0</v>
      </c>
      <c r="AL94" s="209">
        <f>IF('МСФО отчетность'!$E$66&lt;Подложка!AL37,1,0)</f>
        <v>0</v>
      </c>
      <c r="AM94" s="156">
        <f>IF('МСФО отчетность'!$E$66&lt;Подложка!AM37,1,0)</f>
        <v>0</v>
      </c>
      <c r="AN94" s="234">
        <f>IF('МСФО отчетность'!$E$66&lt;Подложка!AN37,1,0)</f>
        <v>0</v>
      </c>
      <c r="AO94" s="171">
        <f t="shared" si="50"/>
        <v>0</v>
      </c>
      <c r="AP94" s="172">
        <f t="shared" si="51"/>
        <v>0</v>
      </c>
      <c r="AQ94" s="209">
        <f>IF('МСФО отчетность'!$E$66&lt;Подложка!AQ37,1,0)</f>
        <v>0</v>
      </c>
      <c r="AR94" s="156">
        <f>IF('МСФО отчетность'!$E$66&lt;Подложка!AR37,1,0)</f>
        <v>0</v>
      </c>
      <c r="AS94" s="234">
        <f>IF('МСФО отчетность'!$E$66&lt;Подложка!AS37,1,0)</f>
        <v>0</v>
      </c>
      <c r="AT94" s="171">
        <f t="shared" si="52"/>
        <v>0</v>
      </c>
      <c r="AU94" s="172">
        <f t="shared" si="53"/>
        <v>0</v>
      </c>
    </row>
    <row r="95" spans="1:47" ht="30" x14ac:dyDescent="0.25">
      <c r="A95" s="149" t="s">
        <v>178</v>
      </c>
      <c r="B95" s="271" t="s">
        <v>252</v>
      </c>
      <c r="C95" s="209">
        <f>IF('МСФО отчетность'!$E$67&gt;=Подложка!C38,1,0)</f>
        <v>1</v>
      </c>
      <c r="D95" s="156">
        <f>IF('МСФО отчетность'!$E$67&gt;=Подложка!D38,1,0)</f>
        <v>1</v>
      </c>
      <c r="E95" s="234">
        <f>IF('МСФО отчетность'!$E$67&gt;=Подложка!E38,1,0)</f>
        <v>1</v>
      </c>
      <c r="F95" s="171">
        <f t="shared" si="36"/>
        <v>3</v>
      </c>
      <c r="G95" s="172">
        <f t="shared" si="37"/>
        <v>100</v>
      </c>
      <c r="H95" s="209">
        <f>IF('МСФО отчетность'!$E$67&gt;=Подложка!H38,1,0)</f>
        <v>1</v>
      </c>
      <c r="I95" s="156">
        <f>IF('МСФО отчетность'!$E$67&gt;=Подложка!I38,1,0)</f>
        <v>1</v>
      </c>
      <c r="J95" s="234">
        <f>IF('МСФО отчетность'!$E$67&gt;=Подложка!J38,1,0)</f>
        <v>1</v>
      </c>
      <c r="K95" s="171">
        <f t="shared" si="38"/>
        <v>3</v>
      </c>
      <c r="L95" s="172">
        <f t="shared" si="39"/>
        <v>100</v>
      </c>
      <c r="M95" s="209">
        <f>IF('МСФО отчетность'!$E$67&gt;=Подложка!M38,1,0)</f>
        <v>1</v>
      </c>
      <c r="N95" s="156">
        <f>IF('МСФО отчетность'!$E$67&gt;=Подложка!N38,1,0)</f>
        <v>1</v>
      </c>
      <c r="O95" s="234">
        <f>IF('МСФО отчетность'!$E$67&gt;=Подложка!O38,1,0)</f>
        <v>1</v>
      </c>
      <c r="P95" s="171">
        <f t="shared" si="40"/>
        <v>3</v>
      </c>
      <c r="Q95" s="172">
        <f t="shared" si="41"/>
        <v>100</v>
      </c>
      <c r="R95" s="209">
        <f>IF('МСФО отчетность'!$E$67&gt;=Подложка!R38,1,0)</f>
        <v>1</v>
      </c>
      <c r="S95" s="156">
        <f>IF('МСФО отчетность'!$E$67&gt;=Подложка!S38,1,0)</f>
        <v>1</v>
      </c>
      <c r="T95" s="234">
        <f>IF('МСФО отчетность'!$E$67&gt;=Подложка!T38,1,0)</f>
        <v>1</v>
      </c>
      <c r="U95" s="171">
        <f t="shared" si="42"/>
        <v>3</v>
      </c>
      <c r="V95" s="172">
        <f t="shared" si="43"/>
        <v>100</v>
      </c>
      <c r="W95" s="209">
        <f>IF('МСФО отчетность'!$E$67&gt;=Подложка!W38,1,0)</f>
        <v>1</v>
      </c>
      <c r="X95" s="156">
        <f>IF('МСФО отчетность'!$E$67&gt;=Подложка!X38,1,0)</f>
        <v>1</v>
      </c>
      <c r="Y95" s="234">
        <f>IF('МСФО отчетность'!$E$67&gt;=Подложка!Y38,1,0)</f>
        <v>1</v>
      </c>
      <c r="Z95" s="171">
        <f t="shared" si="44"/>
        <v>3</v>
      </c>
      <c r="AA95" s="172">
        <f t="shared" si="45"/>
        <v>100</v>
      </c>
      <c r="AB95" s="209">
        <f>IF('МСФО отчетность'!$E$67&gt;=Подложка!AB38,1,0)</f>
        <v>1</v>
      </c>
      <c r="AC95" s="156">
        <f>IF('МСФО отчетность'!$E$67&gt;=Подложка!AC38,1,0)</f>
        <v>1</v>
      </c>
      <c r="AD95" s="234">
        <f>IF('МСФО отчетность'!$E$67&gt;=Подложка!AD38,1,0)</f>
        <v>0</v>
      </c>
      <c r="AE95" s="171">
        <f t="shared" si="46"/>
        <v>2</v>
      </c>
      <c r="AF95" s="172">
        <f t="shared" si="47"/>
        <v>70</v>
      </c>
      <c r="AG95" s="209">
        <f>IF('МСФО отчетность'!$E$67&gt;=Подложка!AG38,1,0)</f>
        <v>1</v>
      </c>
      <c r="AH95" s="156">
        <f>IF('МСФО отчетность'!$E$67&gt;=Подложка!AH38,1,0)</f>
        <v>1</v>
      </c>
      <c r="AI95" s="234">
        <f>IF('МСФО отчетность'!$E$67&gt;=Подложка!AI38,1,0)</f>
        <v>1</v>
      </c>
      <c r="AJ95" s="171">
        <f t="shared" si="48"/>
        <v>3</v>
      </c>
      <c r="AK95" s="172">
        <f t="shared" si="49"/>
        <v>100</v>
      </c>
      <c r="AL95" s="209">
        <f>IF('МСФО отчетность'!$E$67&gt;=Подложка!AL38,1,0)</f>
        <v>1</v>
      </c>
      <c r="AM95" s="156">
        <f>IF('МСФО отчетность'!$E$67&gt;=Подложка!AM38,1,0)</f>
        <v>1</v>
      </c>
      <c r="AN95" s="234">
        <f>IF('МСФО отчетность'!$E$67&gt;=Подложка!AN38,1,0)</f>
        <v>0</v>
      </c>
      <c r="AO95" s="171">
        <f t="shared" si="50"/>
        <v>2</v>
      </c>
      <c r="AP95" s="172">
        <f t="shared" si="51"/>
        <v>70</v>
      </c>
      <c r="AQ95" s="209">
        <f>IF('МСФО отчетность'!$E$67&gt;=Подложка!AQ38,1,0)</f>
        <v>1</v>
      </c>
      <c r="AR95" s="156">
        <f>IF('МСФО отчетность'!$E$67&gt;=Подложка!AR38,1,0)</f>
        <v>1</v>
      </c>
      <c r="AS95" s="234">
        <f>IF('МСФО отчетность'!$E$67&gt;=Подложка!AS38,1,0)</f>
        <v>0</v>
      </c>
      <c r="AT95" s="171">
        <f t="shared" si="52"/>
        <v>2</v>
      </c>
      <c r="AU95" s="172">
        <f t="shared" si="53"/>
        <v>70</v>
      </c>
    </row>
    <row r="96" spans="1:47" ht="30" x14ac:dyDescent="0.25">
      <c r="A96" s="149" t="s">
        <v>179</v>
      </c>
      <c r="B96" s="271" t="s">
        <v>41</v>
      </c>
      <c r="C96" s="209">
        <f>IF('МСФО отчетность'!$E$68&gt;=Подложка!C39,1,0)</f>
        <v>1</v>
      </c>
      <c r="D96" s="156">
        <f>IF('МСФО отчетность'!$E$68&gt;=Подложка!D39,1,0)</f>
        <v>1</v>
      </c>
      <c r="E96" s="234">
        <f>IF('МСФО отчетность'!$E$68&gt;=Подложка!E39,1,0)</f>
        <v>0</v>
      </c>
      <c r="F96" s="171">
        <f t="shared" si="36"/>
        <v>2</v>
      </c>
      <c r="G96" s="172">
        <f t="shared" si="37"/>
        <v>70</v>
      </c>
      <c r="H96" s="209">
        <f>IF('МСФО отчетность'!$E$68&gt;=Подложка!H39,1,0)</f>
        <v>1</v>
      </c>
      <c r="I96" s="156">
        <f>IF('МСФО отчетность'!$E$68&gt;=Подложка!I39,1,0)</f>
        <v>1</v>
      </c>
      <c r="J96" s="234">
        <f>IF('МСФО отчетность'!$E$68&gt;=Подложка!J39,1,0)</f>
        <v>0</v>
      </c>
      <c r="K96" s="171">
        <f t="shared" si="38"/>
        <v>2</v>
      </c>
      <c r="L96" s="172">
        <f t="shared" si="39"/>
        <v>70</v>
      </c>
      <c r="M96" s="209">
        <f>IF('МСФО отчетность'!$E$68&gt;=Подложка!M39,1,0)</f>
        <v>1</v>
      </c>
      <c r="N96" s="156">
        <f>IF('МСФО отчетность'!$E$68&gt;=Подложка!N39,1,0)</f>
        <v>1</v>
      </c>
      <c r="O96" s="234">
        <f>IF('МСФО отчетность'!$E$68&gt;=Подложка!O39,1,0)</f>
        <v>0</v>
      </c>
      <c r="P96" s="171">
        <f t="shared" si="40"/>
        <v>2</v>
      </c>
      <c r="Q96" s="172">
        <f t="shared" si="41"/>
        <v>70</v>
      </c>
      <c r="R96" s="209">
        <f>IF('МСФО отчетность'!$E$68&gt;=Подложка!R39,1,0)</f>
        <v>1</v>
      </c>
      <c r="S96" s="156">
        <f>IF('МСФО отчетность'!$E$68&gt;=Подложка!S39,1,0)</f>
        <v>1</v>
      </c>
      <c r="T96" s="234">
        <f>IF('МСФО отчетность'!$E$68&gt;=Подложка!T39,1,0)</f>
        <v>1</v>
      </c>
      <c r="U96" s="171">
        <f t="shared" si="42"/>
        <v>3</v>
      </c>
      <c r="V96" s="172">
        <f t="shared" si="43"/>
        <v>100</v>
      </c>
      <c r="W96" s="209">
        <f>IF('МСФО отчетность'!$E$68&gt;=Подложка!W39,1,0)</f>
        <v>1</v>
      </c>
      <c r="X96" s="156">
        <f>IF('МСФО отчетность'!$E$68&gt;=Подложка!X39,1,0)</f>
        <v>1</v>
      </c>
      <c r="Y96" s="234">
        <f>IF('МСФО отчетность'!$E$68&gt;=Подложка!Y39,1,0)</f>
        <v>0</v>
      </c>
      <c r="Z96" s="171">
        <f t="shared" si="44"/>
        <v>2</v>
      </c>
      <c r="AA96" s="172">
        <f t="shared" si="45"/>
        <v>70</v>
      </c>
      <c r="AB96" s="209">
        <f>IF('МСФО отчетность'!$E$68&gt;=Подложка!AB39,1,0)</f>
        <v>1</v>
      </c>
      <c r="AC96" s="156">
        <f>IF('МСФО отчетность'!$E$68&gt;=Подложка!AC39,1,0)</f>
        <v>1</v>
      </c>
      <c r="AD96" s="234">
        <f>IF('МСФО отчетность'!$E$68&gt;=Подложка!AD39,1,0)</f>
        <v>0</v>
      </c>
      <c r="AE96" s="171">
        <f t="shared" si="46"/>
        <v>2</v>
      </c>
      <c r="AF96" s="172">
        <f t="shared" si="47"/>
        <v>70</v>
      </c>
      <c r="AG96" s="209">
        <f>IF('МСФО отчетность'!$E$68&gt;=Подложка!AG39,1,0)</f>
        <v>1</v>
      </c>
      <c r="AH96" s="156">
        <f>IF('МСФО отчетность'!$E$68&gt;=Подложка!AH39,1,0)</f>
        <v>1</v>
      </c>
      <c r="AI96" s="234">
        <f>IF('МСФО отчетность'!$E$68&gt;=Подложка!AI39,1,0)</f>
        <v>0</v>
      </c>
      <c r="AJ96" s="171">
        <f t="shared" si="48"/>
        <v>2</v>
      </c>
      <c r="AK96" s="172">
        <f t="shared" si="49"/>
        <v>70</v>
      </c>
      <c r="AL96" s="209">
        <f>IF('МСФО отчетность'!$E$68&gt;=Подложка!AL39,1,0)</f>
        <v>1</v>
      </c>
      <c r="AM96" s="156">
        <f>IF('МСФО отчетность'!$E$68&gt;=Подложка!AM39,1,0)</f>
        <v>1</v>
      </c>
      <c r="AN96" s="234">
        <f>IF('МСФО отчетность'!$E$68&gt;=Подложка!AN39,1,0)</f>
        <v>0</v>
      </c>
      <c r="AO96" s="171">
        <f t="shared" si="50"/>
        <v>2</v>
      </c>
      <c r="AP96" s="172">
        <f t="shared" si="51"/>
        <v>70</v>
      </c>
      <c r="AQ96" s="209">
        <f>IF('МСФО отчетность'!$E$68&gt;=Подложка!AQ39,1,0)</f>
        <v>1</v>
      </c>
      <c r="AR96" s="156">
        <f>IF('МСФО отчетность'!$E$68&gt;=Подложка!AR39,1,0)</f>
        <v>0</v>
      </c>
      <c r="AS96" s="234">
        <f>IF('МСФО отчетность'!$E$68&gt;=Подложка!AS39,1,0)</f>
        <v>0</v>
      </c>
      <c r="AT96" s="171">
        <f t="shared" si="52"/>
        <v>1</v>
      </c>
      <c r="AU96" s="172">
        <f t="shared" si="53"/>
        <v>40</v>
      </c>
    </row>
    <row r="97" spans="1:47" ht="30" x14ac:dyDescent="0.25">
      <c r="A97" s="149" t="s">
        <v>180</v>
      </c>
      <c r="B97" s="271" t="s">
        <v>235</v>
      </c>
      <c r="C97" s="209">
        <f>IF('МСФО отчетность'!$E$69&lt;Подложка!C40,1,0)</f>
        <v>1</v>
      </c>
      <c r="D97" s="156">
        <f>IF('МСФО отчетность'!$E$69&lt;Подложка!D40,1,0)</f>
        <v>0</v>
      </c>
      <c r="E97" s="234">
        <f>IF('МСФО отчетность'!$E$69&lt;Подложка!E40,1,0)</f>
        <v>0</v>
      </c>
      <c r="F97" s="171">
        <f t="shared" si="36"/>
        <v>1</v>
      </c>
      <c r="G97" s="172">
        <f t="shared" si="37"/>
        <v>40</v>
      </c>
      <c r="H97" s="209">
        <f>IF('МСФО отчетность'!$E$69&lt;Подложка!H40,1,0)</f>
        <v>1</v>
      </c>
      <c r="I97" s="156">
        <f>IF('МСФО отчетность'!$E$69&lt;Подложка!I40,1,0)</f>
        <v>1</v>
      </c>
      <c r="J97" s="234">
        <f>IF('МСФО отчетность'!$E$69&lt;Подложка!J40,1,0)</f>
        <v>0</v>
      </c>
      <c r="K97" s="171">
        <f t="shared" si="38"/>
        <v>2</v>
      </c>
      <c r="L97" s="172">
        <f t="shared" si="39"/>
        <v>70</v>
      </c>
      <c r="M97" s="209">
        <f>IF('МСФО отчетность'!$E$69&lt;Подложка!M40,1,0)</f>
        <v>1</v>
      </c>
      <c r="N97" s="156">
        <f>IF('МСФО отчетность'!$E$69&lt;Подложка!N40,1,0)</f>
        <v>1</v>
      </c>
      <c r="O97" s="234">
        <f>IF('МСФО отчетность'!$E$69&lt;Подложка!O40,1,0)</f>
        <v>0</v>
      </c>
      <c r="P97" s="171">
        <f t="shared" si="40"/>
        <v>2</v>
      </c>
      <c r="Q97" s="172">
        <f t="shared" si="41"/>
        <v>70</v>
      </c>
      <c r="R97" s="209">
        <f>IF('МСФО отчетность'!$E$69&lt;Подложка!R40,1,0)</f>
        <v>1</v>
      </c>
      <c r="S97" s="156">
        <f>IF('МСФО отчетность'!$E$69&lt;Подложка!S40,1,0)</f>
        <v>1</v>
      </c>
      <c r="T97" s="234">
        <f>IF('МСФО отчетность'!$E$69&lt;Подложка!T40,1,0)</f>
        <v>0</v>
      </c>
      <c r="U97" s="171">
        <f t="shared" si="42"/>
        <v>2</v>
      </c>
      <c r="V97" s="172">
        <f t="shared" si="43"/>
        <v>70</v>
      </c>
      <c r="W97" s="209">
        <f>IF('МСФО отчетность'!$E$69&lt;Подложка!W40,1,0)</f>
        <v>1</v>
      </c>
      <c r="X97" s="156">
        <f>IF('МСФО отчетность'!$E$69&lt;Подложка!X40,1,0)</f>
        <v>1</v>
      </c>
      <c r="Y97" s="234">
        <f>IF('МСФО отчетность'!$E$69&lt;Подложка!Y40,1,0)</f>
        <v>0</v>
      </c>
      <c r="Z97" s="171">
        <f t="shared" si="44"/>
        <v>2</v>
      </c>
      <c r="AA97" s="172">
        <f t="shared" si="45"/>
        <v>70</v>
      </c>
      <c r="AB97" s="209">
        <f>IF('МСФО отчетность'!$E$69&lt;Подложка!AB40,1,0)</f>
        <v>1</v>
      </c>
      <c r="AC97" s="156">
        <f>IF('МСФО отчетность'!$E$69&lt;Подложка!AC40,1,0)</f>
        <v>0</v>
      </c>
      <c r="AD97" s="234">
        <f>IF('МСФО отчетность'!$E$69&lt;Подложка!AD40,1,0)</f>
        <v>0</v>
      </c>
      <c r="AE97" s="171">
        <f t="shared" si="46"/>
        <v>1</v>
      </c>
      <c r="AF97" s="172">
        <f t="shared" si="47"/>
        <v>40</v>
      </c>
      <c r="AG97" s="209">
        <f>IF('МСФО отчетность'!$E$69&lt;Подложка!AG40,1,0)</f>
        <v>1</v>
      </c>
      <c r="AH97" s="156">
        <f>IF('МСФО отчетность'!$E$69&lt;Подложка!AH40,1,0)</f>
        <v>0</v>
      </c>
      <c r="AI97" s="234">
        <f>IF('МСФО отчетность'!$E$69&lt;Подложка!AI40,1,0)</f>
        <v>0</v>
      </c>
      <c r="AJ97" s="171">
        <f t="shared" si="48"/>
        <v>1</v>
      </c>
      <c r="AK97" s="172">
        <f t="shared" si="49"/>
        <v>40</v>
      </c>
      <c r="AL97" s="209">
        <f>IF('МСФО отчетность'!$E$69&lt;Подложка!AL40,1,0)</f>
        <v>1</v>
      </c>
      <c r="AM97" s="156">
        <f>IF('МСФО отчетность'!$E$69&lt;Подложка!AM40,1,0)</f>
        <v>0</v>
      </c>
      <c r="AN97" s="234">
        <f>IF('МСФО отчетность'!$E$69&lt;Подложка!AN40,1,0)</f>
        <v>0</v>
      </c>
      <c r="AO97" s="171">
        <f t="shared" si="50"/>
        <v>1</v>
      </c>
      <c r="AP97" s="172">
        <f t="shared" si="51"/>
        <v>40</v>
      </c>
      <c r="AQ97" s="209">
        <f>IF('МСФО отчетность'!$E$69&lt;Подложка!AQ40,1,0)</f>
        <v>1</v>
      </c>
      <c r="AR97" s="156">
        <f>IF('МСФО отчетность'!$E$69&lt;Подложка!AR40,1,0)</f>
        <v>0</v>
      </c>
      <c r="AS97" s="234">
        <f>IF('МСФО отчетность'!$E$69&lt;Подложка!AS40,1,0)</f>
        <v>0</v>
      </c>
      <c r="AT97" s="171">
        <f t="shared" si="52"/>
        <v>1</v>
      </c>
      <c r="AU97" s="172">
        <f t="shared" si="53"/>
        <v>40</v>
      </c>
    </row>
    <row r="98" spans="1:47" ht="30" x14ac:dyDescent="0.25">
      <c r="A98" s="149" t="s">
        <v>250</v>
      </c>
      <c r="B98" s="271" t="s">
        <v>236</v>
      </c>
      <c r="C98" s="209">
        <f>IF('МСФО отчетность'!$E$70&gt;=Подложка!C41,1,0)</f>
        <v>1</v>
      </c>
      <c r="D98" s="156">
        <f>IF('МСФО отчетность'!$E$70&gt;=Подложка!D41,1,0)</f>
        <v>1</v>
      </c>
      <c r="E98" s="234">
        <f>IF('МСФО отчетность'!$E$70&gt;=Подложка!E41,1,0)</f>
        <v>1</v>
      </c>
      <c r="F98" s="171">
        <f t="shared" si="36"/>
        <v>3</v>
      </c>
      <c r="G98" s="172">
        <f t="shared" si="37"/>
        <v>100</v>
      </c>
      <c r="H98" s="209">
        <f>IF('МСФО отчетность'!$E$70&gt;=Подложка!H41,1,0)</f>
        <v>1</v>
      </c>
      <c r="I98" s="156">
        <f>IF('МСФО отчетность'!$E$70&gt;=Подложка!I41,1,0)</f>
        <v>1</v>
      </c>
      <c r="J98" s="234">
        <f>IF('МСФО отчетность'!$E$70&gt;=Подложка!J41,1,0)</f>
        <v>1</v>
      </c>
      <c r="K98" s="171">
        <f t="shared" ref="K98:K100" si="54">SUM(H98:J98)</f>
        <v>3</v>
      </c>
      <c r="L98" s="172">
        <f t="shared" si="39"/>
        <v>100</v>
      </c>
      <c r="M98" s="209">
        <f>IF('МСФО отчетность'!$E$70&gt;=Подложка!M41,1,0)</f>
        <v>1</v>
      </c>
      <c r="N98" s="156">
        <f>IF('МСФО отчетность'!$E$70&gt;=Подложка!N41,1,0)</f>
        <v>1</v>
      </c>
      <c r="O98" s="234">
        <f>IF('МСФО отчетность'!$E$70&gt;=Подложка!O41,1,0)</f>
        <v>1</v>
      </c>
      <c r="P98" s="171">
        <f t="shared" ref="P98:P100" si="55">SUM(M98:O98)</f>
        <v>3</v>
      </c>
      <c r="Q98" s="172">
        <f t="shared" si="41"/>
        <v>100</v>
      </c>
      <c r="R98" s="209">
        <f>IF('МСФО отчетность'!$E$70&gt;=Подложка!R41,1,0)</f>
        <v>1</v>
      </c>
      <c r="S98" s="156">
        <f>IF('МСФО отчетность'!$E$70&gt;=Подложка!S41,1,0)</f>
        <v>1</v>
      </c>
      <c r="T98" s="234">
        <f>IF('МСФО отчетность'!$E$70&gt;=Подложка!T41,1,0)</f>
        <v>1</v>
      </c>
      <c r="U98" s="171">
        <f t="shared" ref="U98:U100" si="56">SUM(R98:T98)</f>
        <v>3</v>
      </c>
      <c r="V98" s="172">
        <f t="shared" si="43"/>
        <v>100</v>
      </c>
      <c r="W98" s="209">
        <f>IF('МСФО отчетность'!$E$70&gt;=Подложка!W41,1,0)</f>
        <v>1</v>
      </c>
      <c r="X98" s="156">
        <f>IF('МСФО отчетность'!$E$70&gt;=Подложка!X41,1,0)</f>
        <v>1</v>
      </c>
      <c r="Y98" s="234">
        <f>IF('МСФО отчетность'!$E$70&gt;=Подложка!Y41,1,0)</f>
        <v>1</v>
      </c>
      <c r="Z98" s="171">
        <f t="shared" ref="Z98:Z100" si="57">SUM(W98:Y98)</f>
        <v>3</v>
      </c>
      <c r="AA98" s="172">
        <f t="shared" si="45"/>
        <v>100</v>
      </c>
      <c r="AB98" s="209">
        <f>IF('МСФО отчетность'!$E$70&gt;=Подложка!AB41,1,0)</f>
        <v>1</v>
      </c>
      <c r="AC98" s="156">
        <f>IF('МСФО отчетность'!$E$70&gt;=Подложка!AC41,1,0)</f>
        <v>1</v>
      </c>
      <c r="AD98" s="234">
        <f>IF('МСФО отчетность'!$E$70&gt;=Подложка!AD41,1,0)</f>
        <v>1</v>
      </c>
      <c r="AE98" s="171">
        <f t="shared" ref="AE98:AE100" si="58">SUM(AB98:AD98)</f>
        <v>3</v>
      </c>
      <c r="AF98" s="172">
        <f t="shared" si="47"/>
        <v>100</v>
      </c>
      <c r="AG98" s="209">
        <f>IF('МСФО отчетность'!$E$70&gt;=Подложка!AG41,1,0)</f>
        <v>1</v>
      </c>
      <c r="AH98" s="156">
        <f>IF('МСФО отчетность'!$E$70&gt;=Подложка!AH41,1,0)</f>
        <v>1</v>
      </c>
      <c r="AI98" s="234">
        <f>IF('МСФО отчетность'!$E$70&gt;=Подложка!AI41,1,0)</f>
        <v>1</v>
      </c>
      <c r="AJ98" s="171">
        <f t="shared" ref="AJ98:AJ100" si="59">SUM(AG98:AI98)</f>
        <v>3</v>
      </c>
      <c r="AK98" s="172">
        <f t="shared" si="49"/>
        <v>100</v>
      </c>
      <c r="AL98" s="209">
        <f>IF('МСФО отчетность'!$E$70&gt;=Подложка!AL41,1,0)</f>
        <v>1</v>
      </c>
      <c r="AM98" s="156">
        <f>IF('МСФО отчетность'!$E$70&gt;=Подложка!AM41,1,0)</f>
        <v>1</v>
      </c>
      <c r="AN98" s="234">
        <f>IF('МСФО отчетность'!$E$70&gt;=Подложка!AN41,1,0)</f>
        <v>1</v>
      </c>
      <c r="AO98" s="171">
        <f t="shared" ref="AO98:AO100" si="60">SUM(AL98:AN98)</f>
        <v>3</v>
      </c>
      <c r="AP98" s="172">
        <f t="shared" si="51"/>
        <v>100</v>
      </c>
      <c r="AQ98" s="209">
        <f>IF('МСФО отчетность'!$E$70&gt;=Подложка!AQ41,1,0)</f>
        <v>1</v>
      </c>
      <c r="AR98" s="156">
        <f>IF('МСФО отчетность'!$E$70&gt;=Подложка!AR41,1,0)</f>
        <v>1</v>
      </c>
      <c r="AS98" s="234">
        <f>IF('МСФО отчетность'!$E$70&gt;=Подложка!AS41,1,0)</f>
        <v>1</v>
      </c>
      <c r="AT98" s="171">
        <f t="shared" ref="AT98:AT100" si="61">SUM(AQ98:AS98)</f>
        <v>3</v>
      </c>
      <c r="AU98" s="172">
        <f t="shared" si="53"/>
        <v>100</v>
      </c>
    </row>
    <row r="99" spans="1:47" ht="30" x14ac:dyDescent="0.25">
      <c r="A99" s="149" t="s">
        <v>181</v>
      </c>
      <c r="B99" s="271" t="s">
        <v>253</v>
      </c>
      <c r="C99" s="209">
        <f>IF('МСФО отчетность'!$E$71&gt;=Подложка!C42,1,0)</f>
        <v>1</v>
      </c>
      <c r="D99" s="156">
        <f>IF('МСФО отчетность'!$E$71&gt;=Подложка!D42,1,0)</f>
        <v>1</v>
      </c>
      <c r="E99" s="234">
        <f>IF('МСФО отчетность'!$E$71&gt;=Подложка!E42,1,0)</f>
        <v>1</v>
      </c>
      <c r="F99" s="171">
        <f t="shared" si="36"/>
        <v>3</v>
      </c>
      <c r="G99" s="172">
        <f t="shared" si="37"/>
        <v>100</v>
      </c>
      <c r="H99" s="209">
        <f>IF('МСФО отчетность'!$E$71&gt;=Подложка!H42,1,0)</f>
        <v>1</v>
      </c>
      <c r="I99" s="156">
        <f>IF('МСФО отчетность'!$E$71&gt;=Подложка!I42,1,0)</f>
        <v>1</v>
      </c>
      <c r="J99" s="234">
        <f>IF('МСФО отчетность'!$E$71&gt;=Подложка!J42,1,0)</f>
        <v>1</v>
      </c>
      <c r="K99" s="171">
        <f t="shared" si="54"/>
        <v>3</v>
      </c>
      <c r="L99" s="172">
        <f t="shared" si="39"/>
        <v>100</v>
      </c>
      <c r="M99" s="209">
        <f>IF('МСФО отчетность'!$E$71&gt;=Подложка!M42,1,0)</f>
        <v>1</v>
      </c>
      <c r="N99" s="156">
        <f>IF('МСФО отчетность'!$E$71&gt;=Подложка!N42,1,0)</f>
        <v>1</v>
      </c>
      <c r="O99" s="234">
        <f>IF('МСФО отчетность'!$E$71&gt;=Подложка!O42,1,0)</f>
        <v>1</v>
      </c>
      <c r="P99" s="171">
        <f t="shared" si="55"/>
        <v>3</v>
      </c>
      <c r="Q99" s="172">
        <f t="shared" si="41"/>
        <v>100</v>
      </c>
      <c r="R99" s="209">
        <f>IF('МСФО отчетность'!$E$71&gt;=Подложка!R42,1,0)</f>
        <v>1</v>
      </c>
      <c r="S99" s="156">
        <f>IF('МСФО отчетность'!$E$71&gt;=Подложка!S42,1,0)</f>
        <v>1</v>
      </c>
      <c r="T99" s="234">
        <f>IF('МСФО отчетность'!$E$71&gt;=Подложка!T42,1,0)</f>
        <v>1</v>
      </c>
      <c r="U99" s="171">
        <f t="shared" si="56"/>
        <v>3</v>
      </c>
      <c r="V99" s="172">
        <f t="shared" si="43"/>
        <v>100</v>
      </c>
      <c r="W99" s="209">
        <f>IF('МСФО отчетность'!$E$71&gt;=Подложка!W42,1,0)</f>
        <v>1</v>
      </c>
      <c r="X99" s="156">
        <f>IF('МСФО отчетность'!$E$71&gt;=Подложка!X42,1,0)</f>
        <v>1</v>
      </c>
      <c r="Y99" s="234">
        <f>IF('МСФО отчетность'!$E$71&gt;=Подложка!Y42,1,0)</f>
        <v>1</v>
      </c>
      <c r="Z99" s="171">
        <f t="shared" si="57"/>
        <v>3</v>
      </c>
      <c r="AA99" s="172">
        <f t="shared" si="45"/>
        <v>100</v>
      </c>
      <c r="AB99" s="209">
        <f>IF('МСФО отчетность'!$E$71&gt;=Подложка!AB42,1,0)</f>
        <v>1</v>
      </c>
      <c r="AC99" s="156">
        <f>IF('МСФО отчетность'!$E$71&gt;=Подложка!AC42,1,0)</f>
        <v>1</v>
      </c>
      <c r="AD99" s="234">
        <f>IF('МСФО отчетность'!$E$71&gt;=Подложка!AD42,1,0)</f>
        <v>1</v>
      </c>
      <c r="AE99" s="171">
        <f t="shared" si="58"/>
        <v>3</v>
      </c>
      <c r="AF99" s="172">
        <f t="shared" si="47"/>
        <v>100</v>
      </c>
      <c r="AG99" s="209">
        <f>IF('МСФО отчетность'!$E$71&gt;=Подложка!AG42,1,0)</f>
        <v>1</v>
      </c>
      <c r="AH99" s="156">
        <f>IF('МСФО отчетность'!$E$71&gt;=Подложка!AH42,1,0)</f>
        <v>1</v>
      </c>
      <c r="AI99" s="234">
        <f>IF('МСФО отчетность'!$E$71&gt;=Подложка!AI42,1,0)</f>
        <v>1</v>
      </c>
      <c r="AJ99" s="171">
        <f t="shared" si="59"/>
        <v>3</v>
      </c>
      <c r="AK99" s="172">
        <f t="shared" si="49"/>
        <v>100</v>
      </c>
      <c r="AL99" s="209">
        <f>IF('МСФО отчетность'!$E$71&gt;=Подложка!AL42,1,0)</f>
        <v>1</v>
      </c>
      <c r="AM99" s="156">
        <f>IF('МСФО отчетность'!$E$71&gt;=Подложка!AM42,1,0)</f>
        <v>1</v>
      </c>
      <c r="AN99" s="234">
        <f>IF('МСФО отчетность'!$E$71&gt;=Подложка!AN42,1,0)</f>
        <v>0</v>
      </c>
      <c r="AO99" s="171">
        <f t="shared" si="60"/>
        <v>2</v>
      </c>
      <c r="AP99" s="172">
        <f t="shared" si="51"/>
        <v>70</v>
      </c>
      <c r="AQ99" s="209">
        <f>IF('МСФО отчетность'!$E$71&gt;=Подложка!AQ42,1,0)</f>
        <v>1</v>
      </c>
      <c r="AR99" s="156">
        <f>IF('МСФО отчетность'!$E$71&gt;=Подложка!AR42,1,0)</f>
        <v>1</v>
      </c>
      <c r="AS99" s="234">
        <f>IF('МСФО отчетность'!$E$71&gt;=Подложка!AS42,1,0)</f>
        <v>0</v>
      </c>
      <c r="AT99" s="171">
        <f t="shared" si="61"/>
        <v>2</v>
      </c>
      <c r="AU99" s="172">
        <f t="shared" si="53"/>
        <v>70</v>
      </c>
    </row>
    <row r="100" spans="1:47" ht="30" x14ac:dyDescent="0.25">
      <c r="A100" s="149" t="s">
        <v>251</v>
      </c>
      <c r="B100" s="271" t="s">
        <v>254</v>
      </c>
      <c r="C100" s="209">
        <f>IF('МСФО отчетность'!$E$72&gt;=Подложка!C43,1,0)</f>
        <v>1</v>
      </c>
      <c r="D100" s="156">
        <f>IF('МСФО отчетность'!$E$72&gt;=Подложка!D43,1,0)</f>
        <v>1</v>
      </c>
      <c r="E100" s="234">
        <f>IF('МСФО отчетность'!$E$72&gt;=Подложка!E43,1,0)</f>
        <v>0</v>
      </c>
      <c r="F100" s="171">
        <f t="shared" si="36"/>
        <v>2</v>
      </c>
      <c r="G100" s="172">
        <f t="shared" si="37"/>
        <v>70</v>
      </c>
      <c r="H100" s="209">
        <f>IF('МСФО отчетность'!$E$72&gt;=Подложка!H43,1,0)</f>
        <v>1</v>
      </c>
      <c r="I100" s="156">
        <f>IF('МСФО отчетность'!$E$72&gt;=Подложка!I43,1,0)</f>
        <v>1</v>
      </c>
      <c r="J100" s="234">
        <f>IF('МСФО отчетность'!$E$72&gt;=Подложка!J43,1,0)</f>
        <v>1</v>
      </c>
      <c r="K100" s="171">
        <f t="shared" si="54"/>
        <v>3</v>
      </c>
      <c r="L100" s="172">
        <f t="shared" si="39"/>
        <v>100</v>
      </c>
      <c r="M100" s="209">
        <f>IF('МСФО отчетность'!$E$72&gt;=Подложка!M43,1,0)</f>
        <v>1</v>
      </c>
      <c r="N100" s="156">
        <f>IF('МСФО отчетность'!$E$72&gt;=Подложка!N43,1,0)</f>
        <v>1</v>
      </c>
      <c r="O100" s="234">
        <f>IF('МСФО отчетность'!$E$72&gt;=Подложка!O43,1,0)</f>
        <v>0</v>
      </c>
      <c r="P100" s="171">
        <f t="shared" si="55"/>
        <v>2</v>
      </c>
      <c r="Q100" s="172">
        <f t="shared" si="41"/>
        <v>70</v>
      </c>
      <c r="R100" s="209">
        <f>IF('МСФО отчетность'!$E$72&gt;=Подложка!R43,1,0)</f>
        <v>1</v>
      </c>
      <c r="S100" s="156">
        <f>IF('МСФО отчетность'!$E$72&gt;=Подложка!S43,1,0)</f>
        <v>1</v>
      </c>
      <c r="T100" s="234">
        <f>IF('МСФО отчетность'!$E$72&gt;=Подложка!T43,1,0)</f>
        <v>0</v>
      </c>
      <c r="U100" s="171">
        <f t="shared" si="56"/>
        <v>2</v>
      </c>
      <c r="V100" s="172">
        <f t="shared" si="43"/>
        <v>70</v>
      </c>
      <c r="W100" s="209">
        <f>IF('МСФО отчетность'!$E$72&gt;=Подложка!W43,1,0)</f>
        <v>1</v>
      </c>
      <c r="X100" s="156">
        <f>IF('МСФО отчетность'!$E$72&gt;=Подложка!X43,1,0)</f>
        <v>1</v>
      </c>
      <c r="Y100" s="234">
        <f>IF('МСФО отчетность'!$E$72&gt;=Подложка!Y43,1,0)</f>
        <v>0</v>
      </c>
      <c r="Z100" s="171">
        <f t="shared" si="57"/>
        <v>2</v>
      </c>
      <c r="AA100" s="172">
        <f t="shared" si="45"/>
        <v>70</v>
      </c>
      <c r="AB100" s="209">
        <f>IF('МСФО отчетность'!$E$72&gt;=Подложка!AB43,1,0)</f>
        <v>1</v>
      </c>
      <c r="AC100" s="156">
        <f>IF('МСФО отчетность'!$E$72&gt;=Подложка!AC43,1,0)</f>
        <v>1</v>
      </c>
      <c r="AD100" s="234">
        <f>IF('МСФО отчетность'!$E$72&gt;=Подложка!AD43,1,0)</f>
        <v>0</v>
      </c>
      <c r="AE100" s="171">
        <f t="shared" si="58"/>
        <v>2</v>
      </c>
      <c r="AF100" s="172">
        <f t="shared" si="47"/>
        <v>70</v>
      </c>
      <c r="AG100" s="209">
        <f>IF('МСФО отчетность'!$E$72&gt;=Подложка!AG43,1,0)</f>
        <v>1</v>
      </c>
      <c r="AH100" s="156">
        <f>IF('МСФО отчетность'!$E$72&gt;=Подложка!AH43,1,0)</f>
        <v>1</v>
      </c>
      <c r="AI100" s="234">
        <f>IF('МСФО отчетность'!$E$72&gt;=Подложка!AI43,1,0)</f>
        <v>0</v>
      </c>
      <c r="AJ100" s="171">
        <f t="shared" si="59"/>
        <v>2</v>
      </c>
      <c r="AK100" s="172">
        <f t="shared" si="49"/>
        <v>70</v>
      </c>
      <c r="AL100" s="209">
        <f>IF('МСФО отчетность'!$E$72&gt;=Подложка!AL43,1,0)</f>
        <v>1</v>
      </c>
      <c r="AM100" s="156">
        <f>IF('МСФО отчетность'!$E$72&gt;=Подложка!AM43,1,0)</f>
        <v>1</v>
      </c>
      <c r="AN100" s="234">
        <f>IF('МСФО отчетность'!$E$72&gt;=Подложка!AN43,1,0)</f>
        <v>0</v>
      </c>
      <c r="AO100" s="171">
        <f t="shared" si="60"/>
        <v>2</v>
      </c>
      <c r="AP100" s="172">
        <f t="shared" si="51"/>
        <v>70</v>
      </c>
      <c r="AQ100" s="209">
        <f>IF('МСФО отчетность'!$E$72&gt;=Подложка!AQ43,1,0)</f>
        <v>1</v>
      </c>
      <c r="AR100" s="156">
        <f>IF('МСФО отчетность'!$E$72&gt;=Подложка!AR43,1,0)</f>
        <v>1</v>
      </c>
      <c r="AS100" s="234">
        <f>IF('МСФО отчетность'!$E$72&gt;=Подложка!AS43,1,0)</f>
        <v>0</v>
      </c>
      <c r="AT100" s="171">
        <f t="shared" si="61"/>
        <v>2</v>
      </c>
      <c r="AU100" s="172">
        <f t="shared" si="53"/>
        <v>70</v>
      </c>
    </row>
    <row r="101" spans="1:47" x14ac:dyDescent="0.25">
      <c r="A101" s="166" t="s">
        <v>192</v>
      </c>
      <c r="C101" s="164"/>
      <c r="D101" s="58"/>
      <c r="E101" s="58"/>
      <c r="F101" s="169" t="s">
        <v>185</v>
      </c>
      <c r="G101" s="170" t="s">
        <v>186</v>
      </c>
      <c r="H101" s="164"/>
      <c r="I101" s="58"/>
      <c r="J101" s="58"/>
      <c r="K101" s="169" t="s">
        <v>185</v>
      </c>
      <c r="L101" s="170" t="s">
        <v>186</v>
      </c>
      <c r="M101" s="164"/>
      <c r="N101" s="58"/>
      <c r="O101" s="58"/>
      <c r="P101" s="169" t="s">
        <v>185</v>
      </c>
      <c r="Q101" s="170" t="s">
        <v>186</v>
      </c>
      <c r="R101" s="164"/>
      <c r="S101" s="58"/>
      <c r="T101" s="58"/>
      <c r="U101" s="169" t="s">
        <v>185</v>
      </c>
      <c r="V101" s="170" t="s">
        <v>186</v>
      </c>
      <c r="W101" s="164"/>
      <c r="X101" s="58"/>
      <c r="Y101" s="58"/>
      <c r="Z101" s="169" t="s">
        <v>185</v>
      </c>
      <c r="AA101" s="170" t="s">
        <v>186</v>
      </c>
      <c r="AB101" s="164"/>
      <c r="AC101" s="58"/>
      <c r="AD101" s="58"/>
      <c r="AE101" s="169" t="s">
        <v>185</v>
      </c>
      <c r="AF101" s="170" t="s">
        <v>186</v>
      </c>
      <c r="AG101" s="164"/>
      <c r="AH101" s="58"/>
      <c r="AI101" s="58"/>
      <c r="AJ101" s="169" t="s">
        <v>185</v>
      </c>
      <c r="AK101" s="170" t="s">
        <v>186</v>
      </c>
      <c r="AL101" s="164"/>
      <c r="AM101" s="58"/>
      <c r="AN101" s="58"/>
      <c r="AO101" s="169" t="s">
        <v>185</v>
      </c>
      <c r="AP101" s="170" t="s">
        <v>186</v>
      </c>
      <c r="AQ101" s="164"/>
      <c r="AR101" s="58"/>
      <c r="AS101" s="58"/>
      <c r="AT101" s="169" t="s">
        <v>185</v>
      </c>
      <c r="AU101" s="170" t="s">
        <v>186</v>
      </c>
    </row>
    <row r="102" spans="1:47" ht="45" x14ac:dyDescent="0.25">
      <c r="A102" s="149" t="s">
        <v>175</v>
      </c>
      <c r="B102" s="270" t="s">
        <v>234</v>
      </c>
      <c r="C102" s="209">
        <f>IF('МСФО отчетность'!$F$64&gt;=Подложка!C$35,1,0)</f>
        <v>1</v>
      </c>
      <c r="D102" s="156">
        <f>IF('МСФО отчетность'!$F$64&gt;=Подложка!D$35,1,0)</f>
        <v>1</v>
      </c>
      <c r="E102" s="210">
        <f>IF('МСФО отчетность'!$F$64&gt;=Подложка!E$35,1,0)</f>
        <v>1</v>
      </c>
      <c r="F102" s="171">
        <f t="shared" ref="F102:F107" si="62">SUM(C102:E102)</f>
        <v>3</v>
      </c>
      <c r="G102" s="172">
        <f t="shared" ref="G102:G110" si="63">IF(F102=3,100,IF(F102=2,70,IF(F102=1,40,0)))</f>
        <v>100</v>
      </c>
      <c r="H102" s="209">
        <f>IF('МСФО отчетность'!$F$64&gt;=Подложка!H$35,1,0)</f>
        <v>1</v>
      </c>
      <c r="I102" s="156">
        <f>IF('МСФО отчетность'!$F$64&gt;=Подложка!I$35,1,0)</f>
        <v>1</v>
      </c>
      <c r="J102" s="210">
        <f>IF('МСФО отчетность'!$F$64&gt;=Подложка!J$35,1,0)</f>
        <v>1</v>
      </c>
      <c r="K102" s="171">
        <f t="shared" ref="K102:K107" si="64">SUM(H102:J102)</f>
        <v>3</v>
      </c>
      <c r="L102" s="172">
        <f t="shared" ref="L102:L110" si="65">IF(K102=3,100,IF(K102=2,70,IF(K102=1,40,0)))</f>
        <v>100</v>
      </c>
      <c r="M102" s="209">
        <f>IF('МСФО отчетность'!$F$64&gt;=Подложка!M$35,1,0)</f>
        <v>1</v>
      </c>
      <c r="N102" s="156">
        <f>IF('МСФО отчетность'!$F$64&gt;=Подложка!N$35,1,0)</f>
        <v>1</v>
      </c>
      <c r="O102" s="210">
        <f>IF('МСФО отчетность'!$F$64&gt;=Подложка!O$35,1,0)</f>
        <v>1</v>
      </c>
      <c r="P102" s="171">
        <f t="shared" ref="P102:P107" si="66">SUM(M102:O102)</f>
        <v>3</v>
      </c>
      <c r="Q102" s="172">
        <f t="shared" ref="Q102:Q110" si="67">IF(P102=3,100,IF(P102=2,70,IF(P102=1,40,0)))</f>
        <v>100</v>
      </c>
      <c r="R102" s="209">
        <f>IF('МСФО отчетность'!$F$64&gt;=Подложка!R$35,1,0)</f>
        <v>1</v>
      </c>
      <c r="S102" s="156">
        <f>IF('МСФО отчетность'!$F$64&gt;=Подложка!S$35,1,0)</f>
        <v>1</v>
      </c>
      <c r="T102" s="210">
        <f>IF('МСФО отчетность'!$F$64&gt;=Подложка!T$35,1,0)</f>
        <v>1</v>
      </c>
      <c r="U102" s="171">
        <f t="shared" ref="U102:U107" si="68">SUM(R102:T102)</f>
        <v>3</v>
      </c>
      <c r="V102" s="172">
        <f t="shared" ref="V102:V110" si="69">IF(U102=3,100,IF(U102=2,70,IF(U102=1,40,0)))</f>
        <v>100</v>
      </c>
      <c r="W102" s="209">
        <f>IF('МСФО отчетность'!$F$64&gt;=Подложка!W$35,1,0)</f>
        <v>1</v>
      </c>
      <c r="X102" s="156">
        <f>IF('МСФО отчетность'!$F$64&gt;=Подложка!X$35,1,0)</f>
        <v>1</v>
      </c>
      <c r="Y102" s="210">
        <f>IF('МСФО отчетность'!$F$64&gt;=Подложка!Y$35,1,0)</f>
        <v>1</v>
      </c>
      <c r="Z102" s="171">
        <f t="shared" ref="Z102:Z107" si="70">SUM(W102:Y102)</f>
        <v>3</v>
      </c>
      <c r="AA102" s="172">
        <f t="shared" ref="AA102:AA110" si="71">IF(Z102=3,100,IF(Z102=2,70,IF(Z102=1,40,0)))</f>
        <v>100</v>
      </c>
      <c r="AB102" s="209">
        <f>IF('МСФО отчетность'!$F$64&gt;=Подложка!AB$35,1,0)</f>
        <v>1</v>
      </c>
      <c r="AC102" s="156">
        <f>IF('МСФО отчетность'!$F$64&gt;=Подложка!AC$35,1,0)</f>
        <v>1</v>
      </c>
      <c r="AD102" s="210">
        <f>IF('МСФО отчетность'!$F$64&gt;=Подложка!AD$35,1,0)</f>
        <v>0</v>
      </c>
      <c r="AE102" s="171">
        <f t="shared" ref="AE102:AE107" si="72">SUM(AB102:AD102)</f>
        <v>2</v>
      </c>
      <c r="AF102" s="172">
        <f t="shared" ref="AF102:AF110" si="73">IF(AE102=3,100,IF(AE102=2,70,IF(AE102=1,40,0)))</f>
        <v>70</v>
      </c>
      <c r="AG102" s="209">
        <f>IF('МСФО отчетность'!$F$64&gt;=Подложка!AG$35,1,0)</f>
        <v>1</v>
      </c>
      <c r="AH102" s="156">
        <f>IF('МСФО отчетность'!$F$64&gt;=Подложка!AH$35,1,0)</f>
        <v>1</v>
      </c>
      <c r="AI102" s="210">
        <f>IF('МСФО отчетность'!$F$64&gt;=Подложка!AI$35,1,0)</f>
        <v>1</v>
      </c>
      <c r="AJ102" s="171">
        <f t="shared" ref="AJ102:AJ107" si="74">SUM(AG102:AI102)</f>
        <v>3</v>
      </c>
      <c r="AK102" s="172">
        <f t="shared" ref="AK102:AK110" si="75">IF(AJ102=3,100,IF(AJ102=2,70,IF(AJ102=1,40,0)))</f>
        <v>100</v>
      </c>
      <c r="AL102" s="209">
        <f>IF('МСФО отчетность'!$F$64&gt;=Подложка!AL$35,1,0)</f>
        <v>1</v>
      </c>
      <c r="AM102" s="156">
        <f>IF('МСФО отчетность'!$F$64&gt;=Подложка!AM$35,1,0)</f>
        <v>1</v>
      </c>
      <c r="AN102" s="210">
        <f>IF('МСФО отчетность'!$F$64&gt;=Подложка!AN$35,1,0)</f>
        <v>0</v>
      </c>
      <c r="AO102" s="171">
        <f t="shared" ref="AO102:AO107" si="76">SUM(AL102:AN102)</f>
        <v>2</v>
      </c>
      <c r="AP102" s="172">
        <f t="shared" ref="AP102:AP110" si="77">IF(AO102=3,100,IF(AO102=2,70,IF(AO102=1,40,0)))</f>
        <v>70</v>
      </c>
      <c r="AQ102" s="209">
        <f>IF('МСФО отчетность'!$F$64&gt;=Подложка!AQ$35,1,0)</f>
        <v>1</v>
      </c>
      <c r="AR102" s="156">
        <f>IF('МСФО отчетность'!$F$64&gt;=Подложка!AR$35,1,0)</f>
        <v>1</v>
      </c>
      <c r="AS102" s="210">
        <f>IF('МСФО отчетность'!$F$64&gt;=Подложка!AS$35,1,0)</f>
        <v>0</v>
      </c>
      <c r="AT102" s="171">
        <f t="shared" ref="AT102:AT107" si="78">SUM(AQ102:AS102)</f>
        <v>2</v>
      </c>
      <c r="AU102" s="172">
        <f t="shared" ref="AU102:AU110" si="79">IF(AT102=3,100,IF(AT102=2,70,IF(AT102=1,40,0)))</f>
        <v>70</v>
      </c>
    </row>
    <row r="103" spans="1:47" ht="45" x14ac:dyDescent="0.25">
      <c r="A103" s="149" t="s">
        <v>176</v>
      </c>
      <c r="B103" s="271" t="s">
        <v>4</v>
      </c>
      <c r="C103" s="209">
        <f>IF('МСФО отчетность'!$F$65&gt;=Подложка!C$36,1,0)</f>
        <v>1</v>
      </c>
      <c r="D103" s="156">
        <f>IF('МСФО отчетность'!$F$65&gt;=Подложка!D$36,1,0)</f>
        <v>1</v>
      </c>
      <c r="E103" s="210">
        <f>IF('МСФО отчетность'!$F$65&gt;=Подложка!E$36,1,0)</f>
        <v>1</v>
      </c>
      <c r="F103" s="171">
        <f t="shared" si="62"/>
        <v>3</v>
      </c>
      <c r="G103" s="172">
        <f t="shared" si="63"/>
        <v>100</v>
      </c>
      <c r="H103" s="209">
        <f>IF('МСФО отчетность'!$F$65&gt;=Подложка!H$36,1,0)</f>
        <v>1</v>
      </c>
      <c r="I103" s="156">
        <f>IF('МСФО отчетность'!$F$65&gt;=Подложка!I$36,1,0)</f>
        <v>1</v>
      </c>
      <c r="J103" s="210">
        <f>IF('МСФО отчетность'!$F$65&gt;=Подложка!J$36,1,0)</f>
        <v>1</v>
      </c>
      <c r="K103" s="171">
        <f t="shared" si="64"/>
        <v>3</v>
      </c>
      <c r="L103" s="172">
        <f t="shared" si="65"/>
        <v>100</v>
      </c>
      <c r="M103" s="209">
        <f>IF('МСФО отчетность'!$F$65&gt;=Подложка!M$36,1,0)</f>
        <v>1</v>
      </c>
      <c r="N103" s="156">
        <f>IF('МСФО отчетность'!$F$65&gt;=Подложка!N$36,1,0)</f>
        <v>1</v>
      </c>
      <c r="O103" s="210">
        <f>IF('МСФО отчетность'!$F$65&gt;=Подложка!O$36,1,0)</f>
        <v>1</v>
      </c>
      <c r="P103" s="171">
        <f t="shared" si="66"/>
        <v>3</v>
      </c>
      <c r="Q103" s="172">
        <f t="shared" si="67"/>
        <v>100</v>
      </c>
      <c r="R103" s="209">
        <f>IF('МСФО отчетность'!$F$65&gt;=Подложка!R$36,1,0)</f>
        <v>1</v>
      </c>
      <c r="S103" s="156">
        <f>IF('МСФО отчетность'!$F$65&gt;=Подложка!S$36,1,0)</f>
        <v>1</v>
      </c>
      <c r="T103" s="210">
        <f>IF('МСФО отчетность'!$F$65&gt;=Подложка!T$36,1,0)</f>
        <v>1</v>
      </c>
      <c r="U103" s="171">
        <f t="shared" si="68"/>
        <v>3</v>
      </c>
      <c r="V103" s="172">
        <f t="shared" si="69"/>
        <v>100</v>
      </c>
      <c r="W103" s="209">
        <f>IF('МСФО отчетность'!$F$65&gt;=Подложка!W$36,1,0)</f>
        <v>1</v>
      </c>
      <c r="X103" s="156">
        <f>IF('МСФО отчетность'!$F$65&gt;=Подложка!X$36,1,0)</f>
        <v>1</v>
      </c>
      <c r="Y103" s="210">
        <f>IF('МСФО отчетность'!$F$65&gt;=Подложка!Y$36,1,0)</f>
        <v>1</v>
      </c>
      <c r="Z103" s="171">
        <f t="shared" si="70"/>
        <v>3</v>
      </c>
      <c r="AA103" s="172">
        <f t="shared" si="71"/>
        <v>100</v>
      </c>
      <c r="AB103" s="209">
        <f>IF('МСФО отчетность'!$F$65&gt;=Подложка!AB$36,1,0)</f>
        <v>1</v>
      </c>
      <c r="AC103" s="156">
        <f>IF('МСФО отчетность'!$F$65&gt;=Подложка!AC$36,1,0)</f>
        <v>1</v>
      </c>
      <c r="AD103" s="210">
        <f>IF('МСФО отчетность'!$F$65&gt;=Подложка!AD$36,1,0)</f>
        <v>0</v>
      </c>
      <c r="AE103" s="171">
        <f t="shared" si="72"/>
        <v>2</v>
      </c>
      <c r="AF103" s="172">
        <f t="shared" si="73"/>
        <v>70</v>
      </c>
      <c r="AG103" s="209">
        <f>IF('МСФО отчетность'!$F$65&gt;=Подложка!AG$36,1,0)</f>
        <v>1</v>
      </c>
      <c r="AH103" s="156">
        <f>IF('МСФО отчетность'!$F$65&gt;=Подложка!AH$36,1,0)</f>
        <v>1</v>
      </c>
      <c r="AI103" s="210">
        <f>IF('МСФО отчетность'!$F$65&gt;=Подложка!AI$36,1,0)</f>
        <v>0</v>
      </c>
      <c r="AJ103" s="171">
        <f t="shared" si="74"/>
        <v>2</v>
      </c>
      <c r="AK103" s="172">
        <f t="shared" si="75"/>
        <v>70</v>
      </c>
      <c r="AL103" s="209">
        <f>IF('МСФО отчетность'!$F$65&gt;=Подложка!AL$36,1,0)</f>
        <v>1</v>
      </c>
      <c r="AM103" s="156">
        <f>IF('МСФО отчетность'!$F$65&gt;=Подложка!AM$36,1,0)</f>
        <v>1</v>
      </c>
      <c r="AN103" s="210">
        <f>IF('МСФО отчетность'!$F$65&gt;=Подложка!AN$36,1,0)</f>
        <v>0</v>
      </c>
      <c r="AO103" s="171">
        <f t="shared" si="76"/>
        <v>2</v>
      </c>
      <c r="AP103" s="172">
        <f t="shared" si="77"/>
        <v>70</v>
      </c>
      <c r="AQ103" s="209">
        <f>IF('МСФО отчетность'!$F$65&gt;=Подложка!AQ$36,1,0)</f>
        <v>1</v>
      </c>
      <c r="AR103" s="156">
        <f>IF('МСФО отчетность'!$F$65&gt;=Подложка!AR$36,1,0)</f>
        <v>1</v>
      </c>
      <c r="AS103" s="210">
        <f>IF('МСФО отчетность'!$F$65&gt;=Подложка!AS$36,1,0)</f>
        <v>0</v>
      </c>
      <c r="AT103" s="171">
        <f t="shared" si="78"/>
        <v>2</v>
      </c>
      <c r="AU103" s="172">
        <f t="shared" si="79"/>
        <v>70</v>
      </c>
    </row>
    <row r="104" spans="1:47" ht="45" x14ac:dyDescent="0.25">
      <c r="A104" s="149" t="s">
        <v>177</v>
      </c>
      <c r="B104" s="435" t="s">
        <v>343</v>
      </c>
      <c r="C104" s="209">
        <f>IF('МСФО отчетность'!$F$66&lt;Подложка!C$37,1,0)</f>
        <v>0</v>
      </c>
      <c r="D104" s="156">
        <f>IF('МСФО отчетность'!$F$66&lt;Подложка!D$37,1,0)</f>
        <v>0</v>
      </c>
      <c r="E104" s="210">
        <f>IF('МСФО отчетность'!$F$66&lt;Подложка!E$37,1,0)</f>
        <v>0</v>
      </c>
      <c r="F104" s="171">
        <f t="shared" si="62"/>
        <v>0</v>
      </c>
      <c r="G104" s="172">
        <f t="shared" si="63"/>
        <v>0</v>
      </c>
      <c r="H104" s="209">
        <f>IF('МСФО отчетность'!$F$66&lt;Подложка!H$37,1,0)</f>
        <v>0</v>
      </c>
      <c r="I104" s="156">
        <f>IF('МСФО отчетность'!$F$66&lt;Подложка!I$37,1,0)</f>
        <v>0</v>
      </c>
      <c r="J104" s="210">
        <f>IF('МСФО отчетность'!$F$66&lt;Подложка!J$37,1,0)</f>
        <v>0</v>
      </c>
      <c r="K104" s="171">
        <f t="shared" si="64"/>
        <v>0</v>
      </c>
      <c r="L104" s="172">
        <f t="shared" si="65"/>
        <v>0</v>
      </c>
      <c r="M104" s="209">
        <f>IF('МСФО отчетность'!$F$66&lt;Подложка!M$37,1,0)</f>
        <v>0</v>
      </c>
      <c r="N104" s="156">
        <f>IF('МСФО отчетность'!$F$66&lt;Подложка!N$37,1,0)</f>
        <v>0</v>
      </c>
      <c r="O104" s="210">
        <f>IF('МСФО отчетность'!$F$66&lt;Подложка!O$37,1,0)</f>
        <v>0</v>
      </c>
      <c r="P104" s="171">
        <f t="shared" si="66"/>
        <v>0</v>
      </c>
      <c r="Q104" s="172">
        <f t="shared" si="67"/>
        <v>0</v>
      </c>
      <c r="R104" s="209">
        <f>IF('МСФО отчетность'!$F$66&lt;Подложка!R$37,1,0)</f>
        <v>0</v>
      </c>
      <c r="S104" s="156">
        <f>IF('МСФО отчетность'!$F$66&lt;Подложка!S$37,1,0)</f>
        <v>0</v>
      </c>
      <c r="T104" s="210">
        <f>IF('МСФО отчетность'!$F$66&lt;Подложка!T$37,1,0)</f>
        <v>0</v>
      </c>
      <c r="U104" s="171">
        <f t="shared" si="68"/>
        <v>0</v>
      </c>
      <c r="V104" s="172">
        <f t="shared" si="69"/>
        <v>0</v>
      </c>
      <c r="W104" s="209">
        <f>IF('МСФО отчетность'!$F$66&lt;Подложка!W$37,1,0)</f>
        <v>0</v>
      </c>
      <c r="X104" s="156">
        <f>IF('МСФО отчетность'!$F$66&lt;Подложка!X$37,1,0)</f>
        <v>0</v>
      </c>
      <c r="Y104" s="210">
        <f>IF('МСФО отчетность'!$F$66&lt;Подложка!Y$37,1,0)</f>
        <v>0</v>
      </c>
      <c r="Z104" s="171">
        <f t="shared" si="70"/>
        <v>0</v>
      </c>
      <c r="AA104" s="172">
        <f t="shared" si="71"/>
        <v>0</v>
      </c>
      <c r="AB104" s="209">
        <f>IF('МСФО отчетность'!$F$66&lt;Подложка!AB$37,1,0)</f>
        <v>0</v>
      </c>
      <c r="AC104" s="156">
        <f>IF('МСФО отчетность'!$F$66&lt;Подложка!AC$37,1,0)</f>
        <v>0</v>
      </c>
      <c r="AD104" s="210">
        <f>IF('МСФО отчетность'!$F$66&lt;Подложка!AD$37,1,0)</f>
        <v>0</v>
      </c>
      <c r="AE104" s="171">
        <f t="shared" si="72"/>
        <v>0</v>
      </c>
      <c r="AF104" s="172">
        <f t="shared" si="73"/>
        <v>0</v>
      </c>
      <c r="AG104" s="209">
        <f>IF('МСФО отчетность'!$F$66&lt;Подложка!AG$37,1,0)</f>
        <v>0</v>
      </c>
      <c r="AH104" s="156">
        <f>IF('МСФО отчетность'!$F$66&lt;Подложка!AH$37,1,0)</f>
        <v>0</v>
      </c>
      <c r="AI104" s="210">
        <f>IF('МСФО отчетность'!$F$66&lt;Подложка!AI$37,1,0)</f>
        <v>0</v>
      </c>
      <c r="AJ104" s="171">
        <f t="shared" si="74"/>
        <v>0</v>
      </c>
      <c r="AK104" s="172">
        <f t="shared" si="75"/>
        <v>0</v>
      </c>
      <c r="AL104" s="209">
        <f>IF('МСФО отчетность'!$F$66&lt;Подложка!AL$37,1,0)</f>
        <v>0</v>
      </c>
      <c r="AM104" s="156">
        <f>IF('МСФО отчетность'!$F$66&lt;Подложка!AM$37,1,0)</f>
        <v>0</v>
      </c>
      <c r="AN104" s="210">
        <f>IF('МСФО отчетность'!$F$66&lt;Подложка!AN$37,1,0)</f>
        <v>0</v>
      </c>
      <c r="AO104" s="171">
        <f t="shared" si="76"/>
        <v>0</v>
      </c>
      <c r="AP104" s="172">
        <f t="shared" si="77"/>
        <v>0</v>
      </c>
      <c r="AQ104" s="209">
        <f>IF('МСФО отчетность'!$F$66&lt;Подложка!AQ$37,1,0)</f>
        <v>0</v>
      </c>
      <c r="AR104" s="156">
        <f>IF('МСФО отчетность'!$F$66&lt;Подложка!AR$37,1,0)</f>
        <v>0</v>
      </c>
      <c r="AS104" s="210">
        <f>IF('МСФО отчетность'!$F$66&lt;Подложка!AS$37,1,0)</f>
        <v>0</v>
      </c>
      <c r="AT104" s="171">
        <f t="shared" si="78"/>
        <v>0</v>
      </c>
      <c r="AU104" s="172">
        <f t="shared" si="79"/>
        <v>0</v>
      </c>
    </row>
    <row r="105" spans="1:47" ht="30" x14ac:dyDescent="0.25">
      <c r="A105" s="149" t="s">
        <v>178</v>
      </c>
      <c r="B105" s="271" t="s">
        <v>252</v>
      </c>
      <c r="C105" s="209">
        <f>IF('МСФО отчетность'!$F$67&gt;=Подложка!C$38,1,0)</f>
        <v>1</v>
      </c>
      <c r="D105" s="156">
        <f>IF('МСФО отчетность'!$F$67&gt;=Подложка!D$38,1,0)</f>
        <v>1</v>
      </c>
      <c r="E105" s="210">
        <f>IF('МСФО отчетность'!$F$67&gt;=Подложка!E$38,1,0)</f>
        <v>1</v>
      </c>
      <c r="F105" s="171">
        <f t="shared" si="62"/>
        <v>3</v>
      </c>
      <c r="G105" s="172">
        <f t="shared" si="63"/>
        <v>100</v>
      </c>
      <c r="H105" s="209">
        <f>IF('МСФО отчетность'!$F$67&gt;=Подложка!H$38,1,0)</f>
        <v>1</v>
      </c>
      <c r="I105" s="156">
        <f>IF('МСФО отчетность'!$F$67&gt;=Подложка!I$38,1,0)</f>
        <v>1</v>
      </c>
      <c r="J105" s="210">
        <f>IF('МСФО отчетность'!$F$67&gt;=Подложка!J$38,1,0)</f>
        <v>0</v>
      </c>
      <c r="K105" s="171">
        <f t="shared" si="64"/>
        <v>2</v>
      </c>
      <c r="L105" s="172">
        <f t="shared" si="65"/>
        <v>70</v>
      </c>
      <c r="M105" s="209">
        <f>IF('МСФО отчетность'!$F$67&gt;=Подложка!M$38,1,0)</f>
        <v>1</v>
      </c>
      <c r="N105" s="156">
        <f>IF('МСФО отчетность'!$F$67&gt;=Подложка!N$38,1,0)</f>
        <v>1</v>
      </c>
      <c r="O105" s="210">
        <f>IF('МСФО отчетность'!$F$67&gt;=Подложка!O$38,1,0)</f>
        <v>1</v>
      </c>
      <c r="P105" s="171">
        <f t="shared" si="66"/>
        <v>3</v>
      </c>
      <c r="Q105" s="172">
        <f t="shared" si="67"/>
        <v>100</v>
      </c>
      <c r="R105" s="209">
        <f>IF('МСФО отчетность'!$F$67&gt;=Подложка!R$38,1,0)</f>
        <v>1</v>
      </c>
      <c r="S105" s="156">
        <f>IF('МСФО отчетность'!$F$67&gt;=Подложка!S$38,1,0)</f>
        <v>1</v>
      </c>
      <c r="T105" s="210">
        <f>IF('МСФО отчетность'!$F$67&gt;=Подложка!T$38,1,0)</f>
        <v>1</v>
      </c>
      <c r="U105" s="171">
        <f t="shared" si="68"/>
        <v>3</v>
      </c>
      <c r="V105" s="172">
        <f t="shared" si="69"/>
        <v>100</v>
      </c>
      <c r="W105" s="209">
        <f>IF('МСФО отчетность'!$F$67&gt;=Подложка!W$38,1,0)</f>
        <v>1</v>
      </c>
      <c r="X105" s="156">
        <f>IF('МСФО отчетность'!$F$67&gt;=Подложка!X$38,1,0)</f>
        <v>1</v>
      </c>
      <c r="Y105" s="210">
        <f>IF('МСФО отчетность'!$F$67&gt;=Подложка!Y$38,1,0)</f>
        <v>0</v>
      </c>
      <c r="Z105" s="171">
        <f t="shared" si="70"/>
        <v>2</v>
      </c>
      <c r="AA105" s="172">
        <f t="shared" si="71"/>
        <v>70</v>
      </c>
      <c r="AB105" s="209">
        <f>IF('МСФО отчетность'!$F$67&gt;=Подложка!AB$38,1,0)</f>
        <v>1</v>
      </c>
      <c r="AC105" s="156">
        <f>IF('МСФО отчетность'!$F$67&gt;=Подложка!AC$38,1,0)</f>
        <v>1</v>
      </c>
      <c r="AD105" s="210">
        <f>IF('МСФО отчетность'!$F$67&gt;=Подложка!AD$38,1,0)</f>
        <v>0</v>
      </c>
      <c r="AE105" s="171">
        <f t="shared" si="72"/>
        <v>2</v>
      </c>
      <c r="AF105" s="172">
        <f t="shared" si="73"/>
        <v>70</v>
      </c>
      <c r="AG105" s="209">
        <f>IF('МСФО отчетность'!$F$67&gt;=Подложка!AG$38,1,0)</f>
        <v>1</v>
      </c>
      <c r="AH105" s="156">
        <f>IF('МСФО отчетность'!$F$67&gt;=Подложка!AH$38,1,0)</f>
        <v>1</v>
      </c>
      <c r="AI105" s="210">
        <f>IF('МСФО отчетность'!$F$67&gt;=Подложка!AI$38,1,0)</f>
        <v>0</v>
      </c>
      <c r="AJ105" s="171">
        <f t="shared" si="74"/>
        <v>2</v>
      </c>
      <c r="AK105" s="172">
        <f t="shared" si="75"/>
        <v>70</v>
      </c>
      <c r="AL105" s="209">
        <f>IF('МСФО отчетность'!$F$67&gt;=Подложка!AL$38,1,0)</f>
        <v>1</v>
      </c>
      <c r="AM105" s="156">
        <f>IF('МСФО отчетность'!$F$67&gt;=Подложка!AM$38,1,0)</f>
        <v>1</v>
      </c>
      <c r="AN105" s="210">
        <f>IF('МСФО отчетность'!$F$67&gt;=Подложка!AN$38,1,0)</f>
        <v>0</v>
      </c>
      <c r="AO105" s="171">
        <f t="shared" si="76"/>
        <v>2</v>
      </c>
      <c r="AP105" s="172">
        <f t="shared" si="77"/>
        <v>70</v>
      </c>
      <c r="AQ105" s="209">
        <f>IF('МСФО отчетность'!$F$67&gt;=Подложка!AQ$38,1,0)</f>
        <v>1</v>
      </c>
      <c r="AR105" s="156">
        <f>IF('МСФО отчетность'!$F$67&gt;=Подложка!AR$38,1,0)</f>
        <v>1</v>
      </c>
      <c r="AS105" s="210">
        <f>IF('МСФО отчетность'!$F$67&gt;=Подложка!AS$38,1,0)</f>
        <v>0</v>
      </c>
      <c r="AT105" s="171">
        <f t="shared" si="78"/>
        <v>2</v>
      </c>
      <c r="AU105" s="172">
        <f t="shared" si="79"/>
        <v>70</v>
      </c>
    </row>
    <row r="106" spans="1:47" ht="30" x14ac:dyDescent="0.25">
      <c r="A106" s="149" t="s">
        <v>179</v>
      </c>
      <c r="B106" s="271" t="s">
        <v>41</v>
      </c>
      <c r="C106" s="209">
        <f>IF('МСФО отчетность'!$F$68&gt;=Подложка!C$39,1,0)</f>
        <v>1</v>
      </c>
      <c r="D106" s="156">
        <f>IF('МСФО отчетность'!$F$68&gt;=Подложка!D$39,1,0)</f>
        <v>1</v>
      </c>
      <c r="E106" s="210">
        <f>IF('МСФО отчетность'!$F$68&gt;=Подложка!E$39,1,0)</f>
        <v>1</v>
      </c>
      <c r="F106" s="171">
        <f t="shared" si="62"/>
        <v>3</v>
      </c>
      <c r="G106" s="172">
        <f t="shared" si="63"/>
        <v>100</v>
      </c>
      <c r="H106" s="209">
        <f>IF('МСФО отчетность'!$F$68&gt;=Подложка!H$39,1,0)</f>
        <v>1</v>
      </c>
      <c r="I106" s="156">
        <f>IF('МСФО отчетность'!$F$68&gt;=Подложка!I$39,1,0)</f>
        <v>1</v>
      </c>
      <c r="J106" s="210">
        <f>IF('МСФО отчетность'!$F$68&gt;=Подложка!J$39,1,0)</f>
        <v>1</v>
      </c>
      <c r="K106" s="171">
        <f t="shared" si="64"/>
        <v>3</v>
      </c>
      <c r="L106" s="172">
        <f t="shared" si="65"/>
        <v>100</v>
      </c>
      <c r="M106" s="209">
        <f>IF('МСФО отчетность'!$F$68&gt;=Подложка!M$39,1,0)</f>
        <v>1</v>
      </c>
      <c r="N106" s="156">
        <f>IF('МСФО отчетность'!$F$68&gt;=Подложка!N$39,1,0)</f>
        <v>1</v>
      </c>
      <c r="O106" s="210">
        <f>IF('МСФО отчетность'!$F$68&gt;=Подложка!O$39,1,0)</f>
        <v>1</v>
      </c>
      <c r="P106" s="171">
        <f t="shared" si="66"/>
        <v>3</v>
      </c>
      <c r="Q106" s="172">
        <f t="shared" si="67"/>
        <v>100</v>
      </c>
      <c r="R106" s="209">
        <f>IF('МСФО отчетность'!$F$68&gt;=Подложка!R$39,1,0)</f>
        <v>1</v>
      </c>
      <c r="S106" s="156">
        <f>IF('МСФО отчетность'!$F$68&gt;=Подложка!S$39,1,0)</f>
        <v>1</v>
      </c>
      <c r="T106" s="210">
        <f>IF('МСФО отчетность'!$F$68&gt;=Подложка!T$39,1,0)</f>
        <v>1</v>
      </c>
      <c r="U106" s="171">
        <f t="shared" si="68"/>
        <v>3</v>
      </c>
      <c r="V106" s="172">
        <f t="shared" si="69"/>
        <v>100</v>
      </c>
      <c r="W106" s="209">
        <f>IF('МСФО отчетность'!$F$68&gt;=Подложка!W$39,1,0)</f>
        <v>1</v>
      </c>
      <c r="X106" s="156">
        <f>IF('МСФО отчетность'!$F$68&gt;=Подложка!X$39,1,0)</f>
        <v>1</v>
      </c>
      <c r="Y106" s="210">
        <f>IF('МСФО отчетность'!$F$68&gt;=Подложка!Y$39,1,0)</f>
        <v>1</v>
      </c>
      <c r="Z106" s="171">
        <f t="shared" si="70"/>
        <v>3</v>
      </c>
      <c r="AA106" s="172">
        <f t="shared" si="71"/>
        <v>100</v>
      </c>
      <c r="AB106" s="209">
        <f>IF('МСФО отчетность'!$F$68&gt;=Подложка!AB$39,1,0)</f>
        <v>1</v>
      </c>
      <c r="AC106" s="156">
        <f>IF('МСФО отчетность'!$F$68&gt;=Подложка!AC$39,1,0)</f>
        <v>1</v>
      </c>
      <c r="AD106" s="210">
        <f>IF('МСФО отчетность'!$F$68&gt;=Подложка!AD$39,1,0)</f>
        <v>1</v>
      </c>
      <c r="AE106" s="171">
        <f t="shared" si="72"/>
        <v>3</v>
      </c>
      <c r="AF106" s="172">
        <f t="shared" si="73"/>
        <v>100</v>
      </c>
      <c r="AG106" s="209">
        <f>IF('МСФО отчетность'!$F$68&gt;=Подложка!AG$39,1,0)</f>
        <v>1</v>
      </c>
      <c r="AH106" s="156">
        <f>IF('МСФО отчетность'!$F$68&gt;=Подложка!AH$39,1,0)</f>
        <v>1</v>
      </c>
      <c r="AI106" s="210">
        <f>IF('МСФО отчетность'!$F$68&gt;=Подложка!AI$39,1,0)</f>
        <v>1</v>
      </c>
      <c r="AJ106" s="171">
        <f t="shared" si="74"/>
        <v>3</v>
      </c>
      <c r="AK106" s="172">
        <f t="shared" si="75"/>
        <v>100</v>
      </c>
      <c r="AL106" s="209">
        <f>IF('МСФО отчетность'!$F$68&gt;=Подложка!AL$39,1,0)</f>
        <v>1</v>
      </c>
      <c r="AM106" s="156">
        <f>IF('МСФО отчетность'!$F$68&gt;=Подложка!AM$39,1,0)</f>
        <v>1</v>
      </c>
      <c r="AN106" s="210">
        <f>IF('МСФО отчетность'!$F$68&gt;=Подложка!AN$39,1,0)</f>
        <v>0</v>
      </c>
      <c r="AO106" s="171">
        <f t="shared" si="76"/>
        <v>2</v>
      </c>
      <c r="AP106" s="172">
        <f t="shared" si="77"/>
        <v>70</v>
      </c>
      <c r="AQ106" s="209">
        <f>IF('МСФО отчетность'!$F$68&gt;=Подложка!AQ$39,1,0)</f>
        <v>1</v>
      </c>
      <c r="AR106" s="156">
        <f>IF('МСФО отчетность'!$F$68&gt;=Подложка!AR$39,1,0)</f>
        <v>1</v>
      </c>
      <c r="AS106" s="210">
        <f>IF('МСФО отчетность'!$F$68&gt;=Подложка!AS$39,1,0)</f>
        <v>1</v>
      </c>
      <c r="AT106" s="171">
        <f t="shared" si="78"/>
        <v>3</v>
      </c>
      <c r="AU106" s="172">
        <f t="shared" si="79"/>
        <v>100</v>
      </c>
    </row>
    <row r="107" spans="1:47" ht="30" x14ac:dyDescent="0.25">
      <c r="A107" s="149" t="s">
        <v>180</v>
      </c>
      <c r="B107" s="271" t="s">
        <v>235</v>
      </c>
      <c r="C107" s="209">
        <f>IF('МСФО отчетность'!$F$69&lt;Подложка!C$40,1,0)</f>
        <v>1</v>
      </c>
      <c r="D107" s="156">
        <f>IF('МСФО отчетность'!$F$69&lt;Подложка!D$40,1,0)</f>
        <v>1</v>
      </c>
      <c r="E107" s="210">
        <f>IF('МСФО отчетность'!$F$69&lt;Подложка!E$40,1,0)</f>
        <v>0</v>
      </c>
      <c r="F107" s="171">
        <f t="shared" si="62"/>
        <v>2</v>
      </c>
      <c r="G107" s="172">
        <f t="shared" si="63"/>
        <v>70</v>
      </c>
      <c r="H107" s="209">
        <f>IF('МСФО отчетность'!$F$69&lt;Подложка!H$40,1,0)</f>
        <v>1</v>
      </c>
      <c r="I107" s="156">
        <f>IF('МСФО отчетность'!$F$69&lt;Подложка!I$40,1,0)</f>
        <v>1</v>
      </c>
      <c r="J107" s="210">
        <f>IF('МСФО отчетность'!$F$69&lt;Подложка!J$40,1,0)</f>
        <v>0</v>
      </c>
      <c r="K107" s="171">
        <f t="shared" si="64"/>
        <v>2</v>
      </c>
      <c r="L107" s="172">
        <f t="shared" si="65"/>
        <v>70</v>
      </c>
      <c r="M107" s="209">
        <f>IF('МСФО отчетность'!$F$69&lt;Подложка!M$40,1,0)</f>
        <v>1</v>
      </c>
      <c r="N107" s="156">
        <f>IF('МСФО отчетность'!$F$69&lt;Подложка!N$40,1,0)</f>
        <v>1</v>
      </c>
      <c r="O107" s="210">
        <f>IF('МСФО отчетность'!$F$69&lt;Подложка!O$40,1,0)</f>
        <v>1</v>
      </c>
      <c r="P107" s="171">
        <f t="shared" si="66"/>
        <v>3</v>
      </c>
      <c r="Q107" s="172">
        <f t="shared" si="67"/>
        <v>100</v>
      </c>
      <c r="R107" s="209">
        <f>IF('МСФО отчетность'!$F$69&lt;Подложка!R$40,1,0)</f>
        <v>1</v>
      </c>
      <c r="S107" s="156">
        <f>IF('МСФО отчетность'!$F$69&lt;Подложка!S$40,1,0)</f>
        <v>1</v>
      </c>
      <c r="T107" s="210">
        <f>IF('МСФО отчетность'!$F$69&lt;Подложка!T$40,1,0)</f>
        <v>1</v>
      </c>
      <c r="U107" s="171">
        <f t="shared" si="68"/>
        <v>3</v>
      </c>
      <c r="V107" s="172">
        <f t="shared" si="69"/>
        <v>100</v>
      </c>
      <c r="W107" s="209">
        <f>IF('МСФО отчетность'!$F$69&lt;Подложка!W$40,1,0)</f>
        <v>1</v>
      </c>
      <c r="X107" s="156">
        <f>IF('МСФО отчетность'!$F$69&lt;Подложка!X$40,1,0)</f>
        <v>1</v>
      </c>
      <c r="Y107" s="210">
        <f>IF('МСФО отчетность'!$F$69&lt;Подложка!Y$40,1,0)</f>
        <v>0</v>
      </c>
      <c r="Z107" s="171">
        <f t="shared" si="70"/>
        <v>2</v>
      </c>
      <c r="AA107" s="172">
        <f t="shared" si="71"/>
        <v>70</v>
      </c>
      <c r="AB107" s="209">
        <f>IF('МСФО отчетность'!$F$69&lt;Подложка!AB$40,1,0)</f>
        <v>1</v>
      </c>
      <c r="AC107" s="156">
        <f>IF('МСФО отчетность'!$F$69&lt;Подложка!AC$40,1,0)</f>
        <v>1</v>
      </c>
      <c r="AD107" s="210">
        <f>IF('МСФО отчетность'!$F$69&lt;Подложка!AD$40,1,0)</f>
        <v>0</v>
      </c>
      <c r="AE107" s="171">
        <f t="shared" si="72"/>
        <v>2</v>
      </c>
      <c r="AF107" s="172">
        <f t="shared" si="73"/>
        <v>70</v>
      </c>
      <c r="AG107" s="209">
        <f>IF('МСФО отчетность'!$F$69&lt;Подложка!AG$40,1,0)</f>
        <v>1</v>
      </c>
      <c r="AH107" s="156">
        <f>IF('МСФО отчетность'!$F$69&lt;Подложка!AH$40,1,0)</f>
        <v>1</v>
      </c>
      <c r="AI107" s="210">
        <f>IF('МСФО отчетность'!$F$69&lt;Подложка!AI$40,1,0)</f>
        <v>0</v>
      </c>
      <c r="AJ107" s="171">
        <f t="shared" si="74"/>
        <v>2</v>
      </c>
      <c r="AK107" s="172">
        <f t="shared" si="75"/>
        <v>70</v>
      </c>
      <c r="AL107" s="209">
        <f>IF('МСФО отчетность'!$F$69&lt;Подложка!AL$40,1,0)</f>
        <v>1</v>
      </c>
      <c r="AM107" s="156">
        <f>IF('МСФО отчетность'!$F$69&lt;Подложка!AM$40,1,0)</f>
        <v>1</v>
      </c>
      <c r="AN107" s="210">
        <f>IF('МСФО отчетность'!$F$69&lt;Подложка!AN$40,1,0)</f>
        <v>0</v>
      </c>
      <c r="AO107" s="171">
        <f t="shared" si="76"/>
        <v>2</v>
      </c>
      <c r="AP107" s="172">
        <f t="shared" si="77"/>
        <v>70</v>
      </c>
      <c r="AQ107" s="209">
        <f>IF('МСФО отчетность'!$F$69&lt;Подложка!AQ$40,1,0)</f>
        <v>1</v>
      </c>
      <c r="AR107" s="156">
        <f>IF('МСФО отчетность'!$F$69&lt;Подложка!AR$40,1,0)</f>
        <v>1</v>
      </c>
      <c r="AS107" s="210">
        <f>IF('МСФО отчетность'!$F$69&lt;Подложка!AS$40,1,0)</f>
        <v>0</v>
      </c>
      <c r="AT107" s="171">
        <f t="shared" si="78"/>
        <v>2</v>
      </c>
      <c r="AU107" s="172">
        <f t="shared" si="79"/>
        <v>70</v>
      </c>
    </row>
    <row r="108" spans="1:47" ht="30" x14ac:dyDescent="0.25">
      <c r="A108" s="149" t="s">
        <v>250</v>
      </c>
      <c r="B108" s="271" t="s">
        <v>236</v>
      </c>
      <c r="C108" s="209">
        <f>IF('МСФО отчетность'!$F$70&gt;=Подложка!C41,1,0)</f>
        <v>1</v>
      </c>
      <c r="D108" s="156">
        <f>IF('МСФО отчетность'!$F$70&gt;=Подложка!D41,1,0)</f>
        <v>1</v>
      </c>
      <c r="E108" s="210">
        <f>IF('МСФО отчетность'!$F$70&gt;=Подложка!E41,1,0)</f>
        <v>1</v>
      </c>
      <c r="F108" s="171">
        <f t="shared" ref="F108:F110" si="80">SUM(C108:E108)</f>
        <v>3</v>
      </c>
      <c r="G108" s="172">
        <f t="shared" si="63"/>
        <v>100</v>
      </c>
      <c r="H108" s="209">
        <f>IF('МСФО отчетность'!$F$70&gt;=Подложка!H41,1,0)</f>
        <v>1</v>
      </c>
      <c r="I108" s="156">
        <f>IF('МСФО отчетность'!$F$70&gt;=Подложка!I41,1,0)</f>
        <v>1</v>
      </c>
      <c r="J108" s="210">
        <f>IF('МСФО отчетность'!$F$70&gt;=Подложка!J41,1,0)</f>
        <v>1</v>
      </c>
      <c r="K108" s="171">
        <f t="shared" ref="K108:K110" si="81">SUM(H108:J108)</f>
        <v>3</v>
      </c>
      <c r="L108" s="172">
        <f t="shared" si="65"/>
        <v>100</v>
      </c>
      <c r="M108" s="209">
        <f>IF('МСФО отчетность'!$F$70&gt;=Подложка!M41,1,0)</f>
        <v>1</v>
      </c>
      <c r="N108" s="156">
        <f>IF('МСФО отчетность'!$F$70&gt;=Подложка!N41,1,0)</f>
        <v>1</v>
      </c>
      <c r="O108" s="210">
        <f>IF('МСФО отчетность'!$F$70&gt;=Подложка!O41,1,0)</f>
        <v>1</v>
      </c>
      <c r="P108" s="171">
        <f t="shared" ref="P108:P110" si="82">SUM(M108:O108)</f>
        <v>3</v>
      </c>
      <c r="Q108" s="172">
        <f t="shared" si="67"/>
        <v>100</v>
      </c>
      <c r="R108" s="209">
        <f>IF('МСФО отчетность'!$F$70&gt;=Подложка!R41,1,0)</f>
        <v>1</v>
      </c>
      <c r="S108" s="156">
        <f>IF('МСФО отчетность'!$F$70&gt;=Подложка!S41,1,0)</f>
        <v>1</v>
      </c>
      <c r="T108" s="210">
        <f>IF('МСФО отчетность'!$F$70&gt;=Подложка!T41,1,0)</f>
        <v>1</v>
      </c>
      <c r="U108" s="171">
        <f t="shared" ref="U108:U110" si="83">SUM(R108:T108)</f>
        <v>3</v>
      </c>
      <c r="V108" s="172">
        <f t="shared" si="69"/>
        <v>100</v>
      </c>
      <c r="W108" s="209">
        <f>IF('МСФО отчетность'!$F$70&gt;=Подложка!W41,1,0)</f>
        <v>1</v>
      </c>
      <c r="X108" s="156">
        <f>IF('МСФО отчетность'!$F$70&gt;=Подложка!X41,1,0)</f>
        <v>1</v>
      </c>
      <c r="Y108" s="210">
        <f>IF('МСФО отчетность'!$F$70&gt;=Подложка!Y41,1,0)</f>
        <v>1</v>
      </c>
      <c r="Z108" s="171">
        <f t="shared" ref="Z108:Z110" si="84">SUM(W108:Y108)</f>
        <v>3</v>
      </c>
      <c r="AA108" s="172">
        <f t="shared" si="71"/>
        <v>100</v>
      </c>
      <c r="AB108" s="209">
        <f>IF('МСФО отчетность'!$F$70&gt;=Подложка!AB41,1,0)</f>
        <v>1</v>
      </c>
      <c r="AC108" s="156">
        <f>IF('МСФО отчетность'!$F$70&gt;=Подложка!AC41,1,0)</f>
        <v>1</v>
      </c>
      <c r="AD108" s="210">
        <f>IF('МСФО отчетность'!$F$70&gt;=Подложка!AD41,1,0)</f>
        <v>1</v>
      </c>
      <c r="AE108" s="171">
        <f t="shared" ref="AE108:AE110" si="85">SUM(AB108:AD108)</f>
        <v>3</v>
      </c>
      <c r="AF108" s="172">
        <f t="shared" si="73"/>
        <v>100</v>
      </c>
      <c r="AG108" s="209">
        <f>IF('МСФО отчетность'!$F$70&gt;=Подложка!AG41,1,0)</f>
        <v>1</v>
      </c>
      <c r="AH108" s="156">
        <f>IF('МСФО отчетность'!$F$70&gt;=Подложка!AH41,1,0)</f>
        <v>1</v>
      </c>
      <c r="AI108" s="210">
        <f>IF('МСФО отчетность'!$F$70&gt;=Подложка!AI41,1,0)</f>
        <v>1</v>
      </c>
      <c r="AJ108" s="171">
        <f t="shared" ref="AJ108:AJ110" si="86">SUM(AG108:AI108)</f>
        <v>3</v>
      </c>
      <c r="AK108" s="172">
        <f t="shared" si="75"/>
        <v>100</v>
      </c>
      <c r="AL108" s="209">
        <f>IF('МСФО отчетность'!$F$70&gt;=Подложка!AL41,1,0)</f>
        <v>1</v>
      </c>
      <c r="AM108" s="156">
        <f>IF('МСФО отчетность'!$F$70&gt;=Подложка!AM41,1,0)</f>
        <v>1</v>
      </c>
      <c r="AN108" s="210">
        <f>IF('МСФО отчетность'!$F$70&gt;=Подложка!AN41,1,0)</f>
        <v>1</v>
      </c>
      <c r="AO108" s="171">
        <f t="shared" ref="AO108:AO110" si="87">SUM(AL108:AN108)</f>
        <v>3</v>
      </c>
      <c r="AP108" s="172">
        <f t="shared" si="77"/>
        <v>100</v>
      </c>
      <c r="AQ108" s="209">
        <f>IF('МСФО отчетность'!$F$70&gt;=Подложка!AQ41,1,0)</f>
        <v>1</v>
      </c>
      <c r="AR108" s="156">
        <f>IF('МСФО отчетность'!$F$70&gt;=Подложка!AR41,1,0)</f>
        <v>1</v>
      </c>
      <c r="AS108" s="210">
        <f>IF('МСФО отчетность'!$F$70&gt;=Подложка!AS41,1,0)</f>
        <v>1</v>
      </c>
      <c r="AT108" s="171">
        <f t="shared" ref="AT108:AT110" si="88">SUM(AQ108:AS108)</f>
        <v>3</v>
      </c>
      <c r="AU108" s="172">
        <f t="shared" si="79"/>
        <v>100</v>
      </c>
    </row>
    <row r="109" spans="1:47" ht="30" x14ac:dyDescent="0.25">
      <c r="A109" s="149" t="s">
        <v>181</v>
      </c>
      <c r="B109" s="271" t="s">
        <v>253</v>
      </c>
      <c r="C109" s="209">
        <f>IF('МСФО отчетность'!$F$71&gt;=Подложка!C52,1,0)</f>
        <v>0</v>
      </c>
      <c r="D109" s="156">
        <f>IF('МСФО отчетность'!$F$71&gt;=Подложка!D52,1,0)</f>
        <v>0</v>
      </c>
      <c r="E109" s="210">
        <f>IF('МСФО отчетность'!$F$71&gt;=Подложка!E52,1,0)</f>
        <v>0</v>
      </c>
      <c r="F109" s="171">
        <f t="shared" si="80"/>
        <v>0</v>
      </c>
      <c r="G109" s="172">
        <f t="shared" si="63"/>
        <v>0</v>
      </c>
      <c r="H109" s="209">
        <f>IF('МСФО отчетность'!$F$71&gt;=Подложка!H52,1,0)</f>
        <v>0</v>
      </c>
      <c r="I109" s="156">
        <f>IF('МСФО отчетность'!$F$71&gt;=Подложка!I52,1,0)</f>
        <v>0</v>
      </c>
      <c r="J109" s="210">
        <f>IF('МСФО отчетность'!$F$71&gt;=Подложка!J52,1,0)</f>
        <v>0</v>
      </c>
      <c r="K109" s="171">
        <f t="shared" si="81"/>
        <v>0</v>
      </c>
      <c r="L109" s="172">
        <f t="shared" si="65"/>
        <v>0</v>
      </c>
      <c r="M109" s="209">
        <f>IF('МСФО отчетность'!$F$71&gt;=Подложка!M52,1,0)</f>
        <v>0</v>
      </c>
      <c r="N109" s="156">
        <f>IF('МСФО отчетность'!$F$71&gt;=Подложка!N52,1,0)</f>
        <v>0</v>
      </c>
      <c r="O109" s="210">
        <f>IF('МСФО отчетность'!$F$71&gt;=Подложка!O52,1,0)</f>
        <v>0</v>
      </c>
      <c r="P109" s="171">
        <f t="shared" si="82"/>
        <v>0</v>
      </c>
      <c r="Q109" s="172">
        <f t="shared" si="67"/>
        <v>0</v>
      </c>
      <c r="R109" s="209">
        <f>IF('МСФО отчетность'!$F$71&gt;=Подложка!R52,1,0)</f>
        <v>0</v>
      </c>
      <c r="S109" s="156">
        <f>IF('МСФО отчетность'!$F$71&gt;=Подложка!S52,1,0)</f>
        <v>0</v>
      </c>
      <c r="T109" s="210">
        <f>IF('МСФО отчетность'!$F$71&gt;=Подложка!T52,1,0)</f>
        <v>0</v>
      </c>
      <c r="U109" s="171">
        <f t="shared" si="83"/>
        <v>0</v>
      </c>
      <c r="V109" s="172">
        <f t="shared" si="69"/>
        <v>0</v>
      </c>
      <c r="W109" s="209">
        <f>IF('МСФО отчетность'!$F$71&gt;=Подложка!W52,1,0)</f>
        <v>0</v>
      </c>
      <c r="X109" s="156">
        <f>IF('МСФО отчетность'!$F$71&gt;=Подложка!X52,1,0)</f>
        <v>0</v>
      </c>
      <c r="Y109" s="210">
        <f>IF('МСФО отчетность'!$F$71&gt;=Подложка!Y52,1,0)</f>
        <v>0</v>
      </c>
      <c r="Z109" s="171">
        <f t="shared" si="84"/>
        <v>0</v>
      </c>
      <c r="AA109" s="172">
        <f t="shared" si="71"/>
        <v>0</v>
      </c>
      <c r="AB109" s="209">
        <f>IF('МСФО отчетность'!$F$71&gt;=Подложка!AB52,1,0)</f>
        <v>0</v>
      </c>
      <c r="AC109" s="156">
        <f>IF('МСФО отчетность'!$F$71&gt;=Подложка!AC52,1,0)</f>
        <v>0</v>
      </c>
      <c r="AD109" s="210">
        <f>IF('МСФО отчетность'!$F$71&gt;=Подложка!AD52,1,0)</f>
        <v>0</v>
      </c>
      <c r="AE109" s="171">
        <f t="shared" si="85"/>
        <v>0</v>
      </c>
      <c r="AF109" s="172">
        <f t="shared" si="73"/>
        <v>0</v>
      </c>
      <c r="AG109" s="209">
        <f>IF('МСФО отчетность'!$F$71&gt;=Подложка!AG52,1,0)</f>
        <v>0</v>
      </c>
      <c r="AH109" s="156">
        <f>IF('МСФО отчетность'!$F$71&gt;=Подложка!AH52,1,0)</f>
        <v>0</v>
      </c>
      <c r="AI109" s="210">
        <f>IF('МСФО отчетность'!$F$71&gt;=Подложка!AI52,1,0)</f>
        <v>0</v>
      </c>
      <c r="AJ109" s="171">
        <f t="shared" si="86"/>
        <v>0</v>
      </c>
      <c r="AK109" s="172">
        <f t="shared" si="75"/>
        <v>0</v>
      </c>
      <c r="AL109" s="209">
        <f>IF('МСФО отчетность'!$F$71&gt;=Подложка!AL52,1,0)</f>
        <v>0</v>
      </c>
      <c r="AM109" s="156">
        <f>IF('МСФО отчетность'!$F$71&gt;=Подложка!AM52,1,0)</f>
        <v>0</v>
      </c>
      <c r="AN109" s="210">
        <f>IF('МСФО отчетность'!$F$71&gt;=Подложка!AN52,1,0)</f>
        <v>1</v>
      </c>
      <c r="AO109" s="171">
        <f t="shared" si="87"/>
        <v>1</v>
      </c>
      <c r="AP109" s="172">
        <f t="shared" si="77"/>
        <v>40</v>
      </c>
      <c r="AQ109" s="209">
        <f>IF('МСФО отчетность'!$F$71&gt;=Подложка!AQ52,1,0)</f>
        <v>0</v>
      </c>
      <c r="AR109" s="156">
        <f>IF('МСФО отчетность'!$F$71&gt;=Подложка!AR52,1,0)</f>
        <v>0</v>
      </c>
      <c r="AS109" s="210">
        <f>IF('МСФО отчетность'!$F$71&gt;=Подложка!AS52,1,0)</f>
        <v>1</v>
      </c>
      <c r="AT109" s="171">
        <f t="shared" si="88"/>
        <v>1</v>
      </c>
      <c r="AU109" s="172">
        <f t="shared" si="79"/>
        <v>40</v>
      </c>
    </row>
    <row r="110" spans="1:47" ht="30" x14ac:dyDescent="0.25">
      <c r="A110" s="328" t="s">
        <v>251</v>
      </c>
      <c r="B110" s="334" t="s">
        <v>254</v>
      </c>
      <c r="C110" s="209">
        <f>IF('МСФО отчетность'!$F$72&gt;=Подложка!C53,1,0)</f>
        <v>1</v>
      </c>
      <c r="D110" s="156">
        <f>IF('МСФО отчетность'!$F$72&gt;=Подложка!D53,1,0)</f>
        <v>1</v>
      </c>
      <c r="E110" s="210">
        <f>IF('МСФО отчетность'!$F$72&gt;=Подложка!E53,1,0)</f>
        <v>1</v>
      </c>
      <c r="F110" s="171">
        <f t="shared" si="80"/>
        <v>3</v>
      </c>
      <c r="G110" s="172">
        <f t="shared" si="63"/>
        <v>100</v>
      </c>
      <c r="H110" s="209">
        <f>IF('МСФО отчетность'!$F$72&gt;=Подложка!H53,1,0)</f>
        <v>1</v>
      </c>
      <c r="I110" s="156">
        <f>IF('МСФО отчетность'!$F$72&gt;=Подложка!I53,1,0)</f>
        <v>1</v>
      </c>
      <c r="J110" s="210">
        <f>IF('МСФО отчетность'!$F$72&gt;=Подложка!J53,1,0)</f>
        <v>1</v>
      </c>
      <c r="K110" s="171">
        <f t="shared" si="81"/>
        <v>3</v>
      </c>
      <c r="L110" s="172">
        <f t="shared" si="65"/>
        <v>100</v>
      </c>
      <c r="M110" s="209">
        <f>IF('МСФО отчетность'!$F$72&gt;=Подложка!M53,1,0)</f>
        <v>1</v>
      </c>
      <c r="N110" s="156">
        <f>IF('МСФО отчетность'!$F$72&gt;=Подложка!N53,1,0)</f>
        <v>1</v>
      </c>
      <c r="O110" s="210">
        <f>IF('МСФО отчетность'!$F$72&gt;=Подложка!O53,1,0)</f>
        <v>1</v>
      </c>
      <c r="P110" s="171">
        <f t="shared" si="82"/>
        <v>3</v>
      </c>
      <c r="Q110" s="172">
        <f t="shared" si="67"/>
        <v>100</v>
      </c>
      <c r="R110" s="209">
        <f>IF('МСФО отчетность'!$F$72&gt;=Подложка!R53,1,0)</f>
        <v>1</v>
      </c>
      <c r="S110" s="156">
        <f>IF('МСФО отчетность'!$F$72&gt;=Подложка!S53,1,0)</f>
        <v>1</v>
      </c>
      <c r="T110" s="210">
        <f>IF('МСФО отчетность'!$F$72&gt;=Подложка!T53,1,0)</f>
        <v>1</v>
      </c>
      <c r="U110" s="171">
        <f t="shared" si="83"/>
        <v>3</v>
      </c>
      <c r="V110" s="172">
        <f t="shared" si="69"/>
        <v>100</v>
      </c>
      <c r="W110" s="209">
        <f>IF('МСФО отчетность'!$F$72&gt;=Подложка!W53,1,0)</f>
        <v>1</v>
      </c>
      <c r="X110" s="156">
        <f>IF('МСФО отчетность'!$F$72&gt;=Подложка!X53,1,0)</f>
        <v>1</v>
      </c>
      <c r="Y110" s="210">
        <f>IF('МСФО отчетность'!$F$72&gt;=Подложка!Y53,1,0)</f>
        <v>1</v>
      </c>
      <c r="Z110" s="171">
        <f t="shared" si="84"/>
        <v>3</v>
      </c>
      <c r="AA110" s="172">
        <f t="shared" si="71"/>
        <v>100</v>
      </c>
      <c r="AB110" s="209">
        <f>IF('МСФО отчетность'!$F$72&gt;=Подложка!AB53,1,0)</f>
        <v>1</v>
      </c>
      <c r="AC110" s="156">
        <f>IF('МСФО отчетность'!$F$72&gt;=Подложка!AC53,1,0)</f>
        <v>1</v>
      </c>
      <c r="AD110" s="210">
        <f>IF('МСФО отчетность'!$F$72&gt;=Подложка!AD53,1,0)</f>
        <v>1</v>
      </c>
      <c r="AE110" s="171">
        <f t="shared" si="85"/>
        <v>3</v>
      </c>
      <c r="AF110" s="172">
        <f t="shared" si="73"/>
        <v>100</v>
      </c>
      <c r="AG110" s="209">
        <f>IF('МСФО отчетность'!$F$72&gt;=Подложка!AG53,1,0)</f>
        <v>1</v>
      </c>
      <c r="AH110" s="156">
        <f>IF('МСФО отчетность'!$F$72&gt;=Подложка!AH53,1,0)</f>
        <v>1</v>
      </c>
      <c r="AI110" s="210">
        <f>IF('МСФО отчетность'!$F$72&gt;=Подложка!AI53,1,0)</f>
        <v>1</v>
      </c>
      <c r="AJ110" s="171">
        <f t="shared" si="86"/>
        <v>3</v>
      </c>
      <c r="AK110" s="172">
        <f t="shared" si="75"/>
        <v>100</v>
      </c>
      <c r="AL110" s="209">
        <f>IF('МСФО отчетность'!$F$72&gt;=Подложка!AL53,1,0)</f>
        <v>1</v>
      </c>
      <c r="AM110" s="156">
        <f>IF('МСФО отчетность'!$F$72&gt;=Подложка!AM53,1,0)</f>
        <v>1</v>
      </c>
      <c r="AN110" s="210">
        <f>IF('МСФО отчетность'!$F$72&gt;=Подложка!AN53,1,0)</f>
        <v>1</v>
      </c>
      <c r="AO110" s="171">
        <f t="shared" si="87"/>
        <v>3</v>
      </c>
      <c r="AP110" s="172">
        <f t="shared" si="77"/>
        <v>100</v>
      </c>
      <c r="AQ110" s="209">
        <f>IF('МСФО отчетность'!$F$72&gt;=Подложка!AQ53,1,0)</f>
        <v>1</v>
      </c>
      <c r="AR110" s="156">
        <f>IF('МСФО отчетность'!$F$72&gt;=Подложка!AR53,1,0)</f>
        <v>1</v>
      </c>
      <c r="AS110" s="210">
        <f>IF('МСФО отчетность'!$F$72&gt;=Подложка!AS53,1,0)</f>
        <v>1</v>
      </c>
      <c r="AT110" s="171">
        <f t="shared" si="88"/>
        <v>3</v>
      </c>
      <c r="AU110" s="172">
        <f t="shared" si="79"/>
        <v>100</v>
      </c>
    </row>
    <row r="111" spans="1:47" x14ac:dyDescent="0.25">
      <c r="A111" s="166"/>
      <c r="B111" s="324"/>
      <c r="C111" s="324"/>
      <c r="D111" s="324"/>
      <c r="E111" s="324"/>
      <c r="F111" s="333"/>
      <c r="G111" s="333"/>
      <c r="H111" s="324"/>
      <c r="I111" s="324"/>
      <c r="J111" s="324"/>
      <c r="K111" s="333"/>
      <c r="L111" s="333"/>
      <c r="M111" s="324"/>
      <c r="N111" s="324"/>
      <c r="O111" s="324"/>
      <c r="P111" s="333"/>
      <c r="Q111" s="333"/>
      <c r="R111" s="324"/>
      <c r="S111" s="324"/>
      <c r="T111" s="324"/>
      <c r="U111" s="333"/>
      <c r="V111" s="333"/>
      <c r="W111" s="324"/>
      <c r="X111" s="324"/>
      <c r="Y111" s="324"/>
      <c r="Z111" s="333"/>
      <c r="AA111" s="333"/>
      <c r="AB111" s="324"/>
      <c r="AC111" s="324"/>
      <c r="AD111" s="324"/>
      <c r="AE111" s="333"/>
      <c r="AF111" s="333"/>
      <c r="AG111" s="324"/>
      <c r="AH111" s="324"/>
      <c r="AI111" s="324"/>
      <c r="AJ111" s="333"/>
      <c r="AK111" s="333"/>
      <c r="AL111" s="324"/>
      <c r="AM111" s="324"/>
      <c r="AN111" s="324"/>
      <c r="AO111" s="333"/>
      <c r="AP111" s="333"/>
      <c r="AQ111" s="324"/>
      <c r="AR111" s="324"/>
      <c r="AS111" s="324"/>
      <c r="AT111" s="333"/>
      <c r="AU111" s="333"/>
    </row>
    <row r="112" spans="1:47" x14ac:dyDescent="0.25">
      <c r="A112" s="330"/>
      <c r="B112" s="331"/>
      <c r="C112" s="326"/>
      <c r="D112" s="326"/>
      <c r="E112" s="326"/>
      <c r="F112" s="326"/>
      <c r="G112" s="327"/>
      <c r="H112" s="326"/>
      <c r="I112" s="326"/>
      <c r="J112" s="326"/>
      <c r="K112" s="326"/>
      <c r="L112" s="327"/>
      <c r="M112" s="326"/>
      <c r="N112" s="326"/>
      <c r="O112" s="326"/>
      <c r="P112" s="326"/>
      <c r="Q112" s="327"/>
      <c r="R112" s="326"/>
      <c r="S112" s="326"/>
      <c r="T112" s="326"/>
      <c r="U112" s="326"/>
      <c r="V112" s="327"/>
      <c r="W112" s="326"/>
      <c r="X112" s="326"/>
      <c r="Y112" s="326"/>
      <c r="Z112" s="326"/>
      <c r="AA112" s="327"/>
      <c r="AB112" s="326"/>
      <c r="AC112" s="326"/>
      <c r="AD112" s="326"/>
      <c r="AE112" s="326"/>
      <c r="AF112" s="327"/>
      <c r="AG112" s="326"/>
      <c r="AH112" s="326"/>
      <c r="AI112" s="326"/>
      <c r="AJ112" s="326"/>
      <c r="AK112" s="327"/>
      <c r="AL112" s="326"/>
      <c r="AM112" s="326"/>
      <c r="AN112" s="326"/>
      <c r="AO112" s="326"/>
      <c r="AP112" s="327"/>
      <c r="AQ112" s="326"/>
      <c r="AR112" s="326"/>
      <c r="AS112" s="326"/>
      <c r="AT112" s="326"/>
      <c r="AU112" s="327"/>
    </row>
    <row r="113" spans="1:47" x14ac:dyDescent="0.25">
      <c r="A113" s="330"/>
      <c r="B113" s="332"/>
      <c r="C113" s="326"/>
      <c r="D113" s="326"/>
      <c r="E113" s="326"/>
      <c r="F113" s="326"/>
      <c r="G113" s="327"/>
      <c r="H113" s="326"/>
      <c r="I113" s="326"/>
      <c r="J113" s="326"/>
      <c r="K113" s="326"/>
      <c r="L113" s="327"/>
      <c r="M113" s="326"/>
      <c r="N113" s="326"/>
      <c r="O113" s="326"/>
      <c r="P113" s="326"/>
      <c r="Q113" s="327"/>
      <c r="R113" s="326"/>
      <c r="S113" s="326"/>
      <c r="T113" s="326"/>
      <c r="U113" s="326"/>
      <c r="V113" s="327"/>
      <c r="W113" s="326"/>
      <c r="X113" s="326"/>
      <c r="Y113" s="326"/>
      <c r="Z113" s="326"/>
      <c r="AA113" s="327"/>
      <c r="AB113" s="326"/>
      <c r="AC113" s="326"/>
      <c r="AD113" s="326"/>
      <c r="AE113" s="326"/>
      <c r="AF113" s="327"/>
      <c r="AG113" s="326"/>
      <c r="AH113" s="326"/>
      <c r="AI113" s="326"/>
      <c r="AJ113" s="326"/>
      <c r="AK113" s="327"/>
      <c r="AL113" s="326"/>
      <c r="AM113" s="326"/>
      <c r="AN113" s="326"/>
      <c r="AO113" s="326"/>
      <c r="AP113" s="327"/>
      <c r="AQ113" s="326"/>
      <c r="AR113" s="326"/>
      <c r="AS113" s="326"/>
      <c r="AT113" s="326"/>
      <c r="AU113" s="327"/>
    </row>
    <row r="114" spans="1:47" x14ac:dyDescent="0.25">
      <c r="A114" s="330"/>
      <c r="B114" s="332"/>
      <c r="C114" s="326"/>
      <c r="D114" s="326"/>
      <c r="E114" s="326"/>
      <c r="F114" s="326"/>
      <c r="G114" s="327"/>
      <c r="H114" s="326"/>
      <c r="I114" s="326"/>
      <c r="J114" s="326"/>
      <c r="K114" s="326"/>
      <c r="L114" s="327"/>
      <c r="M114" s="326"/>
      <c r="N114" s="326"/>
      <c r="O114" s="326"/>
      <c r="P114" s="326"/>
      <c r="Q114" s="327"/>
      <c r="R114" s="326"/>
      <c r="S114" s="326"/>
      <c r="T114" s="326"/>
      <c r="U114" s="326"/>
      <c r="V114" s="327"/>
      <c r="W114" s="326"/>
      <c r="X114" s="326"/>
      <c r="Y114" s="326"/>
      <c r="Z114" s="326"/>
      <c r="AA114" s="327"/>
      <c r="AB114" s="326"/>
      <c r="AC114" s="326"/>
      <c r="AD114" s="326"/>
      <c r="AE114" s="326"/>
      <c r="AF114" s="327"/>
      <c r="AG114" s="326"/>
      <c r="AH114" s="326"/>
      <c r="AI114" s="326"/>
      <c r="AJ114" s="326"/>
      <c r="AK114" s="327"/>
      <c r="AL114" s="326"/>
      <c r="AM114" s="326"/>
      <c r="AN114" s="326"/>
      <c r="AO114" s="326"/>
      <c r="AP114" s="327"/>
      <c r="AQ114" s="326"/>
      <c r="AR114" s="326"/>
      <c r="AS114" s="326"/>
      <c r="AT114" s="326"/>
      <c r="AU114" s="327"/>
    </row>
    <row r="115" spans="1:47" x14ac:dyDescent="0.25">
      <c r="A115" s="330"/>
      <c r="B115" s="332"/>
      <c r="C115" s="326"/>
      <c r="D115" s="326"/>
      <c r="E115" s="326"/>
      <c r="F115" s="326"/>
      <c r="G115" s="327"/>
      <c r="H115" s="326"/>
      <c r="I115" s="326"/>
      <c r="J115" s="326"/>
      <c r="K115" s="326"/>
      <c r="L115" s="327"/>
      <c r="M115" s="326"/>
      <c r="N115" s="326"/>
      <c r="O115" s="326"/>
      <c r="P115" s="326"/>
      <c r="Q115" s="327"/>
      <c r="R115" s="326"/>
      <c r="S115" s="326"/>
      <c r="T115" s="326"/>
      <c r="U115" s="326"/>
      <c r="V115" s="327"/>
      <c r="W115" s="326"/>
      <c r="X115" s="326"/>
      <c r="Y115" s="326"/>
      <c r="Z115" s="326"/>
      <c r="AA115" s="327"/>
      <c r="AB115" s="326"/>
      <c r="AC115" s="326"/>
      <c r="AD115" s="326"/>
      <c r="AE115" s="326"/>
      <c r="AF115" s="327"/>
      <c r="AG115" s="326"/>
      <c r="AH115" s="326"/>
      <c r="AI115" s="326"/>
      <c r="AJ115" s="326"/>
      <c r="AK115" s="327"/>
      <c r="AL115" s="326"/>
      <c r="AM115" s="326"/>
      <c r="AN115" s="326"/>
      <c r="AO115" s="326"/>
      <c r="AP115" s="327"/>
      <c r="AQ115" s="326"/>
      <c r="AR115" s="326"/>
      <c r="AS115" s="326"/>
      <c r="AT115" s="326"/>
      <c r="AU115" s="327"/>
    </row>
    <row r="116" spans="1:47" x14ac:dyDescent="0.25">
      <c r="A116" s="330"/>
      <c r="B116" s="332"/>
      <c r="C116" s="326"/>
      <c r="D116" s="326"/>
      <c r="E116" s="326"/>
      <c r="F116" s="326"/>
      <c r="G116" s="327"/>
      <c r="H116" s="326"/>
      <c r="I116" s="326"/>
      <c r="J116" s="326"/>
      <c r="K116" s="326"/>
      <c r="L116" s="327"/>
      <c r="M116" s="326"/>
      <c r="N116" s="326"/>
      <c r="O116" s="326"/>
      <c r="P116" s="326"/>
      <c r="Q116" s="327"/>
      <c r="R116" s="326"/>
      <c r="S116" s="326"/>
      <c r="T116" s="326"/>
      <c r="U116" s="326"/>
      <c r="V116" s="327"/>
      <c r="W116" s="326"/>
      <c r="X116" s="326"/>
      <c r="Y116" s="326"/>
      <c r="Z116" s="326"/>
      <c r="AA116" s="327"/>
      <c r="AB116" s="326"/>
      <c r="AC116" s="326"/>
      <c r="AD116" s="326"/>
      <c r="AE116" s="326"/>
      <c r="AF116" s="327"/>
      <c r="AG116" s="326"/>
      <c r="AH116" s="326"/>
      <c r="AI116" s="326"/>
      <c r="AJ116" s="326"/>
      <c r="AK116" s="327"/>
      <c r="AL116" s="326"/>
      <c r="AM116" s="326"/>
      <c r="AN116" s="326"/>
      <c r="AO116" s="326"/>
      <c r="AP116" s="327"/>
      <c r="AQ116" s="326"/>
      <c r="AR116" s="326"/>
      <c r="AS116" s="326"/>
      <c r="AT116" s="326"/>
      <c r="AU116" s="327"/>
    </row>
    <row r="117" spans="1:47" x14ac:dyDescent="0.25">
      <c r="A117" s="330"/>
      <c r="B117" s="332"/>
      <c r="C117" s="326"/>
      <c r="D117" s="326"/>
      <c r="E117" s="326"/>
      <c r="F117" s="326"/>
      <c r="G117" s="327"/>
      <c r="H117" s="326"/>
      <c r="I117" s="326"/>
      <c r="J117" s="326"/>
      <c r="K117" s="326"/>
      <c r="L117" s="327"/>
      <c r="M117" s="326"/>
      <c r="N117" s="326"/>
      <c r="O117" s="326"/>
      <c r="P117" s="326"/>
      <c r="Q117" s="327"/>
      <c r="R117" s="326"/>
      <c r="S117" s="326"/>
      <c r="T117" s="326"/>
      <c r="U117" s="326"/>
      <c r="V117" s="327"/>
      <c r="W117" s="326"/>
      <c r="X117" s="326"/>
      <c r="Y117" s="326"/>
      <c r="Z117" s="326"/>
      <c r="AA117" s="327"/>
      <c r="AB117" s="326"/>
      <c r="AC117" s="326"/>
      <c r="AD117" s="326"/>
      <c r="AE117" s="326"/>
      <c r="AF117" s="327"/>
      <c r="AG117" s="326"/>
      <c r="AH117" s="326"/>
      <c r="AI117" s="326"/>
      <c r="AJ117" s="326"/>
      <c r="AK117" s="327"/>
      <c r="AL117" s="326"/>
      <c r="AM117" s="326"/>
      <c r="AN117" s="326"/>
      <c r="AO117" s="326"/>
      <c r="AP117" s="327"/>
      <c r="AQ117" s="326"/>
      <c r="AR117" s="326"/>
      <c r="AS117" s="326"/>
      <c r="AT117" s="326"/>
      <c r="AU117" s="327"/>
    </row>
    <row r="119" spans="1:47" ht="15.75" thickBot="1" x14ac:dyDescent="0.3"/>
    <row r="120" spans="1:47" ht="45" x14ac:dyDescent="0.25">
      <c r="A120" s="207" t="s">
        <v>198</v>
      </c>
      <c r="C120" s="421" t="s">
        <v>159</v>
      </c>
      <c r="D120" s="422"/>
      <c r="E120" s="422"/>
      <c r="F120" s="422"/>
      <c r="G120" s="423"/>
      <c r="H120" s="422" t="s">
        <v>160</v>
      </c>
      <c r="I120" s="422"/>
      <c r="J120" s="422"/>
      <c r="K120" s="422"/>
      <c r="L120" s="423"/>
      <c r="M120" s="421" t="s">
        <v>161</v>
      </c>
      <c r="N120" s="422"/>
      <c r="O120" s="422"/>
      <c r="P120" s="422"/>
      <c r="Q120" s="423"/>
      <c r="R120" s="421" t="s">
        <v>162</v>
      </c>
      <c r="S120" s="422"/>
      <c r="T120" s="422"/>
      <c r="U120" s="422"/>
      <c r="V120" s="423"/>
      <c r="W120" s="421" t="s">
        <v>207</v>
      </c>
      <c r="X120" s="422"/>
      <c r="Y120" s="422"/>
      <c r="Z120" s="422"/>
      <c r="AA120" s="423"/>
      <c r="AB120" s="421" t="s">
        <v>163</v>
      </c>
      <c r="AC120" s="422"/>
      <c r="AD120" s="422"/>
      <c r="AE120" s="422"/>
      <c r="AF120" s="423"/>
      <c r="AG120" s="421" t="s">
        <v>164</v>
      </c>
      <c r="AH120" s="422"/>
      <c r="AI120" s="422"/>
      <c r="AJ120" s="422"/>
      <c r="AK120" s="423"/>
      <c r="AL120" s="421" t="s">
        <v>165</v>
      </c>
      <c r="AM120" s="422"/>
      <c r="AN120" s="422"/>
      <c r="AO120" s="422"/>
      <c r="AP120" s="423"/>
      <c r="AQ120" s="421" t="s">
        <v>262</v>
      </c>
      <c r="AR120" s="422"/>
      <c r="AS120" s="422"/>
      <c r="AT120" s="422"/>
      <c r="AU120" s="423"/>
    </row>
    <row r="121" spans="1:47" x14ac:dyDescent="0.25">
      <c r="C121" s="424" t="s">
        <v>167</v>
      </c>
      <c r="D121" s="425"/>
      <c r="E121" s="425"/>
      <c r="F121" s="425"/>
      <c r="G121" s="426"/>
      <c r="H121" s="425" t="s">
        <v>168</v>
      </c>
      <c r="I121" s="425"/>
      <c r="J121" s="425"/>
      <c r="K121" s="425"/>
      <c r="L121" s="426"/>
      <c r="M121" s="424" t="s">
        <v>169</v>
      </c>
      <c r="N121" s="425"/>
      <c r="O121" s="425"/>
      <c r="P121" s="425"/>
      <c r="Q121" s="426"/>
      <c r="R121" s="424" t="s">
        <v>170</v>
      </c>
      <c r="S121" s="425"/>
      <c r="T121" s="425"/>
      <c r="U121" s="425"/>
      <c r="V121" s="426"/>
      <c r="W121" s="424" t="s">
        <v>171</v>
      </c>
      <c r="X121" s="425"/>
      <c r="Y121" s="425"/>
      <c r="Z121" s="425"/>
      <c r="AA121" s="426"/>
      <c r="AB121" s="424" t="s">
        <v>172</v>
      </c>
      <c r="AC121" s="425"/>
      <c r="AD121" s="425"/>
      <c r="AE121" s="425"/>
      <c r="AF121" s="426"/>
      <c r="AG121" s="424" t="s">
        <v>173</v>
      </c>
      <c r="AH121" s="425"/>
      <c r="AI121" s="425"/>
      <c r="AJ121" s="425"/>
      <c r="AK121" s="426"/>
      <c r="AL121" s="424" t="s">
        <v>174</v>
      </c>
      <c r="AM121" s="425"/>
      <c r="AN121" s="425"/>
      <c r="AO121" s="425"/>
      <c r="AP121" s="426"/>
      <c r="AQ121" s="424" t="s">
        <v>263</v>
      </c>
      <c r="AR121" s="425"/>
      <c r="AS121" s="425"/>
      <c r="AT121" s="425"/>
      <c r="AU121" s="426"/>
    </row>
    <row r="122" spans="1:47" ht="30" x14ac:dyDescent="0.25">
      <c r="B122" s="193" t="s">
        <v>187</v>
      </c>
      <c r="C122" s="195" t="s">
        <v>188</v>
      </c>
      <c r="D122" s="190" t="s">
        <v>189</v>
      </c>
      <c r="E122" s="190" t="s">
        <v>190</v>
      </c>
      <c r="F122" s="58"/>
      <c r="G122" s="196"/>
      <c r="H122" s="195" t="s">
        <v>188</v>
      </c>
      <c r="I122" s="190" t="s">
        <v>189</v>
      </c>
      <c r="J122" s="190" t="s">
        <v>190</v>
      </c>
      <c r="K122" s="58"/>
      <c r="L122" s="196"/>
      <c r="M122" s="195" t="s">
        <v>188</v>
      </c>
      <c r="N122" s="190" t="s">
        <v>189</v>
      </c>
      <c r="O122" s="190" t="s">
        <v>190</v>
      </c>
      <c r="P122" s="58"/>
      <c r="Q122" s="196"/>
      <c r="R122" s="195" t="s">
        <v>188</v>
      </c>
      <c r="S122" s="190" t="s">
        <v>189</v>
      </c>
      <c r="T122" s="190" t="s">
        <v>190</v>
      </c>
      <c r="U122" s="58"/>
      <c r="V122" s="196"/>
      <c r="W122" s="195" t="s">
        <v>188</v>
      </c>
      <c r="X122" s="190" t="s">
        <v>189</v>
      </c>
      <c r="Y122" s="190" t="s">
        <v>190</v>
      </c>
      <c r="Z122" s="58"/>
      <c r="AA122" s="196"/>
      <c r="AB122" s="195" t="s">
        <v>188</v>
      </c>
      <c r="AC122" s="190" t="s">
        <v>189</v>
      </c>
      <c r="AD122" s="190" t="s">
        <v>190</v>
      </c>
      <c r="AE122" s="58"/>
      <c r="AF122" s="196"/>
      <c r="AG122" s="195" t="s">
        <v>188</v>
      </c>
      <c r="AH122" s="190" t="s">
        <v>189</v>
      </c>
      <c r="AI122" s="190" t="s">
        <v>190</v>
      </c>
      <c r="AJ122" s="58"/>
      <c r="AK122" s="196"/>
      <c r="AL122" s="195" t="s">
        <v>188</v>
      </c>
      <c r="AM122" s="190" t="s">
        <v>189</v>
      </c>
      <c r="AN122" s="190" t="s">
        <v>190</v>
      </c>
      <c r="AO122" s="58"/>
      <c r="AP122" s="196"/>
      <c r="AQ122" s="195" t="s">
        <v>188</v>
      </c>
      <c r="AR122" s="190" t="s">
        <v>189</v>
      </c>
      <c r="AS122" s="190" t="s">
        <v>190</v>
      </c>
      <c r="AT122" s="58"/>
      <c r="AU122" s="196"/>
    </row>
    <row r="123" spans="1:47" x14ac:dyDescent="0.25">
      <c r="B123" s="194" t="s">
        <v>97</v>
      </c>
      <c r="C123" s="197">
        <v>54</v>
      </c>
      <c r="D123" s="192">
        <v>66</v>
      </c>
      <c r="E123" s="192">
        <v>82</v>
      </c>
      <c r="F123" s="58"/>
      <c r="G123" s="196"/>
      <c r="H123" s="197">
        <v>51</v>
      </c>
      <c r="I123" s="192">
        <v>58</v>
      </c>
      <c r="J123" s="192">
        <v>80</v>
      </c>
      <c r="K123" s="58"/>
      <c r="L123" s="196"/>
      <c r="M123" s="197">
        <v>54</v>
      </c>
      <c r="N123" s="192">
        <v>66</v>
      </c>
      <c r="O123" s="192">
        <v>82</v>
      </c>
      <c r="P123" s="58"/>
      <c r="Q123" s="196"/>
      <c r="R123" s="197">
        <v>54</v>
      </c>
      <c r="S123" s="192">
        <v>66</v>
      </c>
      <c r="T123" s="192">
        <v>81</v>
      </c>
      <c r="U123" s="58"/>
      <c r="V123" s="196"/>
      <c r="W123" s="197">
        <v>54</v>
      </c>
      <c r="X123" s="192">
        <v>67</v>
      </c>
      <c r="Y123" s="192">
        <v>82</v>
      </c>
      <c r="Z123" s="58"/>
      <c r="AA123" s="196"/>
      <c r="AB123" s="197">
        <v>49</v>
      </c>
      <c r="AC123" s="192">
        <v>60</v>
      </c>
      <c r="AD123" s="192">
        <v>78</v>
      </c>
      <c r="AE123" s="58"/>
      <c r="AF123" s="196"/>
      <c r="AG123" s="197">
        <v>46</v>
      </c>
      <c r="AH123" s="192">
        <v>56</v>
      </c>
      <c r="AI123" s="192">
        <v>70</v>
      </c>
      <c r="AJ123" s="58"/>
      <c r="AK123" s="196"/>
      <c r="AL123" s="197">
        <v>52</v>
      </c>
      <c r="AM123" s="192">
        <v>68</v>
      </c>
      <c r="AN123" s="192">
        <v>82</v>
      </c>
      <c r="AO123" s="58"/>
      <c r="AP123" s="196"/>
      <c r="AQ123" s="197">
        <v>53</v>
      </c>
      <c r="AR123" s="192">
        <v>69</v>
      </c>
      <c r="AS123" s="192">
        <v>83</v>
      </c>
      <c r="AT123" s="58"/>
      <c r="AU123" s="196"/>
    </row>
    <row r="124" spans="1:47" x14ac:dyDescent="0.25">
      <c r="A124" s="137" t="s">
        <v>183</v>
      </c>
      <c r="B124" s="193" t="s">
        <v>191</v>
      </c>
      <c r="C124" s="200">
        <f>IF('МСФО расчет лимита'!$J$55&gt;=Подложка!C123,1,0)</f>
        <v>1</v>
      </c>
      <c r="D124" s="189">
        <f>IF('МСФО расчет лимита'!$J$55&gt;=Подложка!D123,1,0)</f>
        <v>1</v>
      </c>
      <c r="E124" s="189">
        <f>IF('МСФО расчет лимита'!$J$55&gt;=Подложка!E123,1,0)</f>
        <v>0</v>
      </c>
      <c r="F124" s="191">
        <f>SUM(C124:E124)</f>
        <v>2</v>
      </c>
      <c r="G124" s="172">
        <f>IF(F124=3,1,IF(F124=2,2,IF(F124=1,3,4)))</f>
        <v>2</v>
      </c>
      <c r="H124" s="200">
        <f>IF('МСФО расчет лимита'!$J$55&gt;=Подложка!H123,1,0)</f>
        <v>1</v>
      </c>
      <c r="I124" s="189">
        <f>IF('МСФО расчет лимита'!$J$55&gt;=Подложка!I123,1,0)</f>
        <v>1</v>
      </c>
      <c r="J124" s="189">
        <f>IF('МСФО расчет лимита'!$J$55&gt;=Подложка!J123,1,0)</f>
        <v>0</v>
      </c>
      <c r="K124" s="191">
        <f>SUM(H124:J124)</f>
        <v>2</v>
      </c>
      <c r="L124" s="172">
        <f>IF(K124=3,1,IF(K124=2,2,IF(K124=1,3,4)))</f>
        <v>2</v>
      </c>
      <c r="M124" s="200">
        <f>IF('МСФО расчет лимита'!$J$55&gt;=Подложка!M123,1,0)</f>
        <v>1</v>
      </c>
      <c r="N124" s="189">
        <f>IF('МСФО расчет лимита'!$J$55&gt;=Подложка!N123,1,0)</f>
        <v>1</v>
      </c>
      <c r="O124" s="189">
        <f>IF('МСФО расчет лимита'!$J$55&gt;=Подложка!O123,1,0)</f>
        <v>0</v>
      </c>
      <c r="P124" s="191">
        <f>SUM(M124:O124)</f>
        <v>2</v>
      </c>
      <c r="Q124" s="172">
        <f>IF(P124=3,1,IF(P124=2,2,IF(P124=1,3,4)))</f>
        <v>2</v>
      </c>
      <c r="R124" s="200">
        <f>IF('МСФО расчет лимита'!$J$55&gt;=Подложка!R123,1,0)</f>
        <v>1</v>
      </c>
      <c r="S124" s="189">
        <f>IF('МСФО расчет лимита'!$J$55&gt;=Подложка!S123,1,0)</f>
        <v>1</v>
      </c>
      <c r="T124" s="189">
        <f>IF('МСФО расчет лимита'!$J$55&gt;=Подложка!T123,1,0)</f>
        <v>0</v>
      </c>
      <c r="U124" s="191">
        <f>SUM(R124:T124)</f>
        <v>2</v>
      </c>
      <c r="V124" s="172">
        <f>IF(U124=3,1,IF(U124=2,2,IF(U124=1,3,4)))</f>
        <v>2</v>
      </c>
      <c r="W124" s="200">
        <f>IF('МСФО расчет лимита'!$J$55&gt;=Подложка!W123,1,0)</f>
        <v>1</v>
      </c>
      <c r="X124" s="189">
        <f>IF('МСФО расчет лимита'!$J$55&gt;=Подложка!X123,1,0)</f>
        <v>1</v>
      </c>
      <c r="Y124" s="189">
        <f>IF('МСФО расчет лимита'!$J$55&gt;=Подложка!Y123,1,0)</f>
        <v>0</v>
      </c>
      <c r="Z124" s="191">
        <f>SUM(W124:Y124)</f>
        <v>2</v>
      </c>
      <c r="AA124" s="172">
        <f>IF(Z124=3,1,IF(Z124=2,2,IF(Z124=1,3,4)))</f>
        <v>2</v>
      </c>
      <c r="AB124" s="200">
        <f>IF('МСФО расчет лимита'!$J$55&gt;=Подложка!AB123,1,0)</f>
        <v>1</v>
      </c>
      <c r="AC124" s="189">
        <f>IF('МСФО расчет лимита'!$J$55&gt;=Подложка!AC123,1,0)</f>
        <v>1</v>
      </c>
      <c r="AD124" s="189">
        <f>IF('МСФО расчет лимита'!$J$55&gt;=Подложка!AD123,1,0)</f>
        <v>0</v>
      </c>
      <c r="AE124" s="191">
        <f>SUM(AB124:AD124)</f>
        <v>2</v>
      </c>
      <c r="AF124" s="172">
        <f>IF(AE124=3,1,IF(AE124=2,2,IF(AE124=1,3,4)))</f>
        <v>2</v>
      </c>
      <c r="AG124" s="200">
        <f>IF('МСФО расчет лимита'!$J$55&gt;=Подложка!AG123,1,0)</f>
        <v>1</v>
      </c>
      <c r="AH124" s="189">
        <f>IF('МСФО расчет лимита'!$J$55&gt;=Подложка!AH123,1,0)</f>
        <v>1</v>
      </c>
      <c r="AI124" s="189">
        <f>IF('МСФО расчет лимита'!$J$55&gt;=Подложка!AI123,1,0)</f>
        <v>1</v>
      </c>
      <c r="AJ124" s="191">
        <f>SUM(AG124:AI124)</f>
        <v>3</v>
      </c>
      <c r="AK124" s="172">
        <f>IF(AJ124=3,1,IF(AJ124=2,2,IF(AJ124=1,3,4)))</f>
        <v>1</v>
      </c>
      <c r="AL124" s="200">
        <f>IF('МСФО расчет лимита'!$J$55&gt;=Подложка!AL123,1,0)</f>
        <v>1</v>
      </c>
      <c r="AM124" s="189">
        <f>IF('МСФО расчет лимита'!$J$55&gt;=Подложка!AM123,1,0)</f>
        <v>1</v>
      </c>
      <c r="AN124" s="189">
        <f>IF('МСФО расчет лимита'!$J$55&gt;=Подложка!AN123,1,0)</f>
        <v>0</v>
      </c>
      <c r="AO124" s="191">
        <f>SUM(AL124:AN124)</f>
        <v>2</v>
      </c>
      <c r="AP124" s="172">
        <f>IF(AO124=3,1,IF(AO124=2,2,IF(AO124=1,3,4)))</f>
        <v>2</v>
      </c>
      <c r="AQ124" s="200">
        <f>IF('МСФО расчет лимита'!$J$55&gt;=Подложка!AQ123,1,0)</f>
        <v>1</v>
      </c>
      <c r="AR124" s="189">
        <f>IF('МСФО расчет лимита'!$J$55&gt;=Подложка!AR123,1,0)</f>
        <v>1</v>
      </c>
      <c r="AS124" s="189">
        <f>IF('МСФО расчет лимита'!$J$55&gt;=Подложка!AS123,1,0)</f>
        <v>0</v>
      </c>
      <c r="AT124" s="191">
        <f>SUM(AQ124:AS124)</f>
        <v>2</v>
      </c>
      <c r="AU124" s="172">
        <f>IF(AT124=3,1,IF(AT124=2,2,IF(AT124=1,3,4)))</f>
        <v>2</v>
      </c>
    </row>
    <row r="125" spans="1:47" ht="15.75" thickBot="1" x14ac:dyDescent="0.3">
      <c r="A125" s="323" t="s">
        <v>192</v>
      </c>
      <c r="B125" s="194" t="s">
        <v>191</v>
      </c>
      <c r="C125" s="201">
        <f>IF('МСФО расчет лимита'!$L$55&gt;=Подложка!C123,1,0)</f>
        <v>1</v>
      </c>
      <c r="D125" s="198">
        <f>IF('МСФО расчет лимита'!$L$55&gt;=Подложка!D123,1,0)</f>
        <v>1</v>
      </c>
      <c r="E125" s="198">
        <f>IF('МСФО расчет лимита'!$L$55&gt;=Подложка!E123,1,0)</f>
        <v>0</v>
      </c>
      <c r="F125" s="199">
        <f>SUM(C125:E125)</f>
        <v>2</v>
      </c>
      <c r="G125" s="174">
        <f>IF(F125=3,1,IF(F125=2,2,IF(F125=1,3,4)))</f>
        <v>2</v>
      </c>
      <c r="H125" s="201">
        <f>IF('МСФО расчет лимита'!$L$55&gt;=Подложка!H123,1,0)</f>
        <v>1</v>
      </c>
      <c r="I125" s="198">
        <f>IF('МСФО расчет лимита'!$L$55&gt;=Подложка!I123,1,0)</f>
        <v>1</v>
      </c>
      <c r="J125" s="198">
        <f>IF('МСФО расчет лимита'!$L$55&gt;=Подложка!J123,1,0)</f>
        <v>0</v>
      </c>
      <c r="K125" s="199">
        <f>SUM(H125:J125)</f>
        <v>2</v>
      </c>
      <c r="L125" s="174">
        <f>IF(K125=3,1,IF(K125=2,2,IF(K125=1,3,4)))</f>
        <v>2</v>
      </c>
      <c r="M125" s="201">
        <f>IF('МСФО расчет лимита'!$L$55&gt;=Подложка!M123,1,0)</f>
        <v>1</v>
      </c>
      <c r="N125" s="198">
        <f>IF('МСФО расчет лимита'!$L$55&gt;=Подложка!N123,1,0)</f>
        <v>1</v>
      </c>
      <c r="O125" s="198">
        <f>IF('МСФО расчет лимита'!$L$55&gt;=Подложка!O123,1,0)</f>
        <v>0</v>
      </c>
      <c r="P125" s="199">
        <f>SUM(M125:O125)</f>
        <v>2</v>
      </c>
      <c r="Q125" s="174">
        <f>IF(P125=3,1,IF(P125=2,2,IF(P125=1,3,4)))</f>
        <v>2</v>
      </c>
      <c r="R125" s="201">
        <f>IF('МСФО расчет лимита'!$L$55&gt;=Подложка!R123,1,0)</f>
        <v>1</v>
      </c>
      <c r="S125" s="198">
        <f>IF('МСФО расчет лимита'!$L$55&gt;=Подложка!S123,1,0)</f>
        <v>1</v>
      </c>
      <c r="T125" s="198">
        <f>IF('МСФО расчет лимита'!$L$55&gt;=Подложка!T123,1,0)</f>
        <v>0</v>
      </c>
      <c r="U125" s="199">
        <f>SUM(R125:T125)</f>
        <v>2</v>
      </c>
      <c r="V125" s="174">
        <f>IF(U125=3,1,IF(U125=2,2,IF(U125=1,3,4)))</f>
        <v>2</v>
      </c>
      <c r="W125" s="201">
        <f>IF('МСФО расчет лимита'!$L$55&gt;=Подложка!W123,1,0)</f>
        <v>1</v>
      </c>
      <c r="X125" s="198">
        <f>IF('МСФО расчет лимита'!$L$55&gt;=Подложка!X123,1,0)</f>
        <v>1</v>
      </c>
      <c r="Y125" s="198">
        <f>IF('МСФО расчет лимита'!$L$55&gt;=Подложка!Y123,1,0)</f>
        <v>0</v>
      </c>
      <c r="Z125" s="199">
        <f>SUM(W125:Y125)</f>
        <v>2</v>
      </c>
      <c r="AA125" s="174">
        <f>IF(Z125=3,1,IF(Z125=2,2,IF(Z125=1,3,4)))</f>
        <v>2</v>
      </c>
      <c r="AB125" s="201">
        <f>IF('МСФО расчет лимита'!$L$55&gt;=Подложка!AB123,1,0)</f>
        <v>1</v>
      </c>
      <c r="AC125" s="198">
        <f>IF('МСФО расчет лимита'!$L$55&gt;=Подложка!AC123,1,0)</f>
        <v>1</v>
      </c>
      <c r="AD125" s="198">
        <f>IF('МСФО расчет лимита'!$L$55&gt;=Подложка!AD123,1,0)</f>
        <v>0</v>
      </c>
      <c r="AE125" s="199">
        <f>SUM(AB125:AD125)</f>
        <v>2</v>
      </c>
      <c r="AF125" s="174">
        <f>IF(AE125=3,1,IF(AE125=2,2,IF(AE125=1,3,4)))</f>
        <v>2</v>
      </c>
      <c r="AG125" s="201">
        <f>IF('МСФО расчет лимита'!$L$55&gt;=Подложка!AG123,1,0)</f>
        <v>1</v>
      </c>
      <c r="AH125" s="198">
        <f>IF('МСФО расчет лимита'!$L$55&gt;=Подложка!AH123,1,0)</f>
        <v>1</v>
      </c>
      <c r="AI125" s="198">
        <f>IF('МСФО расчет лимита'!$L$55&gt;=Подложка!AI123,1,0)</f>
        <v>1</v>
      </c>
      <c r="AJ125" s="199">
        <f>SUM(AG125:AI125)</f>
        <v>3</v>
      </c>
      <c r="AK125" s="174">
        <f>IF(AJ125=3,1,IF(AJ125=2,2,IF(AJ125=1,3,4)))</f>
        <v>1</v>
      </c>
      <c r="AL125" s="201">
        <f>IF('МСФО расчет лимита'!$L$55&gt;=Подложка!AL123,1,0)</f>
        <v>1</v>
      </c>
      <c r="AM125" s="198">
        <f>IF('МСФО расчет лимита'!$L$55&gt;=Подложка!AM123,1,0)</f>
        <v>1</v>
      </c>
      <c r="AN125" s="198">
        <f>IF('МСФО расчет лимита'!$L$55&gt;=Подложка!AN123,1,0)</f>
        <v>0</v>
      </c>
      <c r="AO125" s="199">
        <f>SUM(AL125:AN125)</f>
        <v>2</v>
      </c>
      <c r="AP125" s="174">
        <f>IF(AO125=3,1,IF(AO125=2,2,IF(AO125=1,3,4)))</f>
        <v>2</v>
      </c>
      <c r="AQ125" s="201">
        <f>IF('МСФО расчет лимита'!$L$55&gt;=Подложка!AQ123,1,0)</f>
        <v>1</v>
      </c>
      <c r="AR125" s="198">
        <f>IF('МСФО расчет лимита'!$L$55&gt;=Подложка!AR123,1,0)</f>
        <v>1</v>
      </c>
      <c r="AS125" s="198">
        <f>IF('МСФО расчет лимита'!$L$55&gt;=Подложка!AS123,1,0)</f>
        <v>0</v>
      </c>
      <c r="AT125" s="199">
        <f>SUM(AQ125:AS125)</f>
        <v>2</v>
      </c>
      <c r="AU125" s="174">
        <f>IF(AT125=3,1,IF(AT125=2,2,IF(AT125=1,3,4)))</f>
        <v>2</v>
      </c>
    </row>
    <row r="126" spans="1:47" x14ac:dyDescent="0.25">
      <c r="A126" s="324"/>
      <c r="B126" s="325"/>
      <c r="C126" s="324"/>
      <c r="D126" s="324"/>
      <c r="E126" s="324"/>
      <c r="F126" s="326"/>
      <c r="G126" s="327"/>
      <c r="H126" s="324"/>
      <c r="I126" s="324"/>
      <c r="J126" s="324"/>
      <c r="K126" s="326"/>
      <c r="L126" s="327"/>
      <c r="M126" s="324"/>
      <c r="N126" s="324"/>
      <c r="O126" s="324"/>
      <c r="P126" s="326"/>
      <c r="Q126" s="327"/>
      <c r="R126" s="324"/>
      <c r="S126" s="324"/>
      <c r="T126" s="324"/>
      <c r="U126" s="326"/>
      <c r="V126" s="327"/>
      <c r="W126" s="324"/>
      <c r="X126" s="324"/>
      <c r="Y126" s="324"/>
      <c r="Z126" s="326"/>
      <c r="AA126" s="327"/>
      <c r="AB126" s="324"/>
      <c r="AC126" s="324"/>
      <c r="AD126" s="324"/>
      <c r="AE126" s="326"/>
      <c r="AF126" s="327"/>
      <c r="AG126" s="324"/>
      <c r="AH126" s="324"/>
      <c r="AI126" s="324"/>
      <c r="AJ126" s="326"/>
      <c r="AK126" s="327"/>
      <c r="AL126" s="324"/>
      <c r="AM126" s="324"/>
      <c r="AN126" s="324"/>
      <c r="AO126" s="326"/>
      <c r="AP126" s="327"/>
      <c r="AQ126" s="324"/>
      <c r="AR126" s="324"/>
      <c r="AS126" s="324"/>
      <c r="AT126" s="326"/>
      <c r="AU126" s="327"/>
    </row>
  </sheetData>
  <mergeCells count="72">
    <mergeCell ref="AQ89:AU89"/>
    <mergeCell ref="AQ120:AU120"/>
    <mergeCell ref="AQ121:AU121"/>
    <mergeCell ref="AQ32:AU32"/>
    <mergeCell ref="AQ33:AU33"/>
    <mergeCell ref="AQ78:AU78"/>
    <mergeCell ref="AQ79:AU79"/>
    <mergeCell ref="AQ88:AU88"/>
    <mergeCell ref="C79:G79"/>
    <mergeCell ref="H79:L79"/>
    <mergeCell ref="M79:Q79"/>
    <mergeCell ref="R79:V79"/>
    <mergeCell ref="W79:AA79"/>
    <mergeCell ref="W78:AA78"/>
    <mergeCell ref="AB78:AF78"/>
    <mergeCell ref="AG78:AK78"/>
    <mergeCell ref="AL78:AP78"/>
    <mergeCell ref="AB79:AF79"/>
    <mergeCell ref="AG79:AK79"/>
    <mergeCell ref="AL79:AP79"/>
    <mergeCell ref="C78:G78"/>
    <mergeCell ref="H78:L78"/>
    <mergeCell ref="M78:Q78"/>
    <mergeCell ref="R32:V32"/>
    <mergeCell ref="R33:V33"/>
    <mergeCell ref="R78:V78"/>
    <mergeCell ref="C33:G33"/>
    <mergeCell ref="C32:G32"/>
    <mergeCell ref="H32:L32"/>
    <mergeCell ref="H33:L33"/>
    <mergeCell ref="M32:Q32"/>
    <mergeCell ref="M33:Q33"/>
    <mergeCell ref="AG32:AK32"/>
    <mergeCell ref="AG33:AK33"/>
    <mergeCell ref="AL32:AP32"/>
    <mergeCell ref="AL33:AP33"/>
    <mergeCell ref="W32:AA32"/>
    <mergeCell ref="W33:AA33"/>
    <mergeCell ref="AB32:AF32"/>
    <mergeCell ref="AB33:AF33"/>
    <mergeCell ref="AB120:AF120"/>
    <mergeCell ref="AG120:AK120"/>
    <mergeCell ref="AL120:AP120"/>
    <mergeCell ref="C121:G121"/>
    <mergeCell ref="H121:L121"/>
    <mergeCell ref="M121:Q121"/>
    <mergeCell ref="R121:V121"/>
    <mergeCell ref="W121:AA121"/>
    <mergeCell ref="AB121:AF121"/>
    <mergeCell ref="AG121:AK121"/>
    <mergeCell ref="AL121:AP121"/>
    <mergeCell ref="C120:G120"/>
    <mergeCell ref="H120:L120"/>
    <mergeCell ref="M120:Q120"/>
    <mergeCell ref="R120:V120"/>
    <mergeCell ref="W120:AA120"/>
    <mergeCell ref="AB88:AF88"/>
    <mergeCell ref="AG88:AK88"/>
    <mergeCell ref="AL88:AP88"/>
    <mergeCell ref="C89:G89"/>
    <mergeCell ref="H89:L89"/>
    <mergeCell ref="M89:Q89"/>
    <mergeCell ref="R89:V89"/>
    <mergeCell ref="W89:AA89"/>
    <mergeCell ref="AB89:AF89"/>
    <mergeCell ref="AG89:AK89"/>
    <mergeCell ref="AL89:AP89"/>
    <mergeCell ref="C88:G88"/>
    <mergeCell ref="H88:L88"/>
    <mergeCell ref="M88:Q88"/>
    <mergeCell ref="R88:V88"/>
    <mergeCell ref="W88:AA88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B1:T92"/>
  <sheetViews>
    <sheetView showGridLines="0" view="pageBreakPreview" topLeftCell="A22" zoomScale="85" zoomScaleNormal="80" zoomScaleSheetLayoutView="85" workbookViewId="0">
      <selection activeCell="P37" sqref="P37"/>
    </sheetView>
  </sheetViews>
  <sheetFormatPr defaultRowHeight="15" x14ac:dyDescent="0.2"/>
  <cols>
    <col min="1" max="1" width="9.140625" style="1"/>
    <col min="2" max="2" width="10.7109375" style="1" customWidth="1"/>
    <col min="3" max="4" width="9.85546875" style="1" customWidth="1"/>
    <col min="5" max="5" width="9.28515625" style="1" customWidth="1"/>
    <col min="6" max="6" width="7.42578125" style="1" customWidth="1"/>
    <col min="7" max="7" width="15.28515625" style="1" customWidth="1"/>
    <col min="8" max="8" width="9.28515625" style="1" customWidth="1"/>
    <col min="9" max="9" width="6.7109375" style="1" customWidth="1"/>
    <col min="10" max="10" width="19.5703125" style="1" customWidth="1"/>
    <col min="11" max="11" width="7.28515625" style="1" customWidth="1"/>
    <col min="12" max="12" width="19.5703125" style="1" customWidth="1"/>
    <col min="13" max="13" width="7.28515625" style="1" customWidth="1"/>
    <col min="14" max="14" width="7.42578125" style="60" customWidth="1"/>
    <col min="15" max="15" width="24" style="1" customWidth="1"/>
    <col min="16" max="16" width="4" style="1" customWidth="1"/>
    <col min="17" max="17" width="59.140625" style="1" customWidth="1"/>
    <col min="18" max="18" width="14.85546875" style="1" customWidth="1"/>
    <col min="19" max="19" width="9.140625" style="1"/>
    <col min="20" max="20" width="24.42578125" style="1" customWidth="1"/>
    <col min="21" max="21" width="14.85546875" style="1" customWidth="1"/>
    <col min="22" max="22" width="9.140625" style="1"/>
    <col min="23" max="23" width="26.140625" style="1" customWidth="1"/>
    <col min="24" max="24" width="13.28515625" style="1" customWidth="1"/>
    <col min="25" max="25" width="9.140625" style="1"/>
    <col min="26" max="26" width="64.42578125" style="1" customWidth="1"/>
    <col min="27" max="16384" width="9.140625" style="1"/>
  </cols>
  <sheetData>
    <row r="1" spans="2:16" ht="18" customHeight="1" x14ac:dyDescent="0.2">
      <c r="B1" s="122"/>
      <c r="C1" s="122"/>
      <c r="D1" s="122"/>
      <c r="E1" s="236"/>
      <c r="F1" s="236" t="s">
        <v>209</v>
      </c>
      <c r="G1" s="122"/>
      <c r="H1" s="122"/>
      <c r="I1" s="122"/>
      <c r="J1" s="122"/>
      <c r="K1" s="122"/>
      <c r="L1" s="122"/>
      <c r="M1" s="122"/>
      <c r="N1" s="315"/>
      <c r="O1" s="62"/>
      <c r="P1" s="62"/>
    </row>
    <row r="2" spans="2:16" ht="12" customHeight="1" x14ac:dyDescent="0.2"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315"/>
      <c r="O2" s="62"/>
      <c r="P2" s="62"/>
    </row>
    <row r="3" spans="2:16" ht="13.5" customHeight="1" x14ac:dyDescent="0.2">
      <c r="E3" s="10"/>
      <c r="F3" s="10"/>
      <c r="K3" s="68" t="s">
        <v>110</v>
      </c>
      <c r="L3" s="136"/>
      <c r="M3" s="72"/>
      <c r="N3" s="275" t="s">
        <v>125</v>
      </c>
    </row>
    <row r="4" spans="2:16" ht="4.5" customHeight="1" x14ac:dyDescent="0.2">
      <c r="E4" s="10"/>
      <c r="F4" s="10"/>
      <c r="K4" s="68"/>
      <c r="L4" s="57"/>
      <c r="M4" s="57"/>
      <c r="N4" s="316"/>
    </row>
    <row r="5" spans="2:16" ht="18" customHeight="1" x14ac:dyDescent="0.2">
      <c r="B5" s="141" t="s">
        <v>106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316"/>
    </row>
    <row r="6" spans="2:16" ht="9.9499999999999993" customHeight="1" x14ac:dyDescent="0.2">
      <c r="N6" s="316"/>
    </row>
    <row r="7" spans="2:16" x14ac:dyDescent="0.2">
      <c r="B7" s="75" t="s">
        <v>44</v>
      </c>
      <c r="G7" s="4"/>
      <c r="H7" s="385" t="s">
        <v>260</v>
      </c>
      <c r="I7" s="385"/>
      <c r="J7" s="385"/>
      <c r="K7" s="385"/>
      <c r="L7" s="385"/>
      <c r="M7" s="385"/>
      <c r="N7" s="275" t="s">
        <v>125</v>
      </c>
      <c r="O7" s="12"/>
    </row>
    <row r="8" spans="2:16" x14ac:dyDescent="0.2">
      <c r="B8" s="75" t="s">
        <v>194</v>
      </c>
      <c r="G8" s="4"/>
      <c r="H8" s="386" t="s">
        <v>259</v>
      </c>
      <c r="I8" s="386"/>
      <c r="J8" s="70"/>
      <c r="K8" s="70"/>
      <c r="L8" s="70"/>
      <c r="M8" s="70"/>
      <c r="N8" s="275" t="s">
        <v>125</v>
      </c>
      <c r="O8" s="15"/>
    </row>
    <row r="9" spans="2:16" hidden="1" x14ac:dyDescent="0.2">
      <c r="B9" s="3" t="s">
        <v>37</v>
      </c>
      <c r="E9" s="5"/>
      <c r="F9" s="5"/>
      <c r="G9" s="4"/>
      <c r="H9" s="387"/>
      <c r="I9" s="387"/>
      <c r="J9" s="387"/>
      <c r="K9" s="387"/>
      <c r="L9" s="387"/>
      <c r="M9" s="387"/>
      <c r="N9" s="275" t="s">
        <v>103</v>
      </c>
    </row>
    <row r="10" spans="2:16" ht="15.75" customHeight="1" x14ac:dyDescent="0.2">
      <c r="B10" s="75" t="s">
        <v>195</v>
      </c>
      <c r="E10" s="5"/>
      <c r="F10" s="5"/>
      <c r="G10" s="4"/>
      <c r="H10" s="386" t="s">
        <v>171</v>
      </c>
      <c r="I10" s="386"/>
      <c r="J10" s="317"/>
      <c r="K10" s="318"/>
      <c r="L10" s="318"/>
      <c r="M10" s="317"/>
      <c r="N10" s="61" t="s">
        <v>144</v>
      </c>
    </row>
    <row r="11" spans="2:16" x14ac:dyDescent="0.2">
      <c r="B11" s="75" t="s">
        <v>204</v>
      </c>
      <c r="E11" s="5"/>
      <c r="F11" s="5"/>
      <c r="G11" s="4"/>
      <c r="H11" s="388" t="s">
        <v>90</v>
      </c>
      <c r="I11" s="388"/>
      <c r="J11" s="388"/>
      <c r="K11" s="388"/>
      <c r="L11" s="388"/>
      <c r="M11" s="388"/>
      <c r="N11" s="275" t="s">
        <v>144</v>
      </c>
    </row>
    <row r="12" spans="2:16" ht="9.9499999999999993" customHeight="1" x14ac:dyDescent="0.2">
      <c r="N12" s="316"/>
    </row>
    <row r="13" spans="2:16" ht="18" customHeight="1" x14ac:dyDescent="0.2">
      <c r="B13" s="213" t="s">
        <v>205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316"/>
    </row>
    <row r="14" spans="2:16" ht="21.75" customHeight="1" x14ac:dyDescent="0.25">
      <c r="B14" s="218"/>
      <c r="C14" s="219"/>
      <c r="D14" s="219"/>
      <c r="E14" s="219"/>
      <c r="F14" s="219"/>
      <c r="G14" s="219"/>
      <c r="H14" s="379">
        <f>J22</f>
        <v>46022</v>
      </c>
      <c r="I14" s="379"/>
      <c r="J14" s="219"/>
      <c r="K14" s="219"/>
      <c r="L14" s="380">
        <f>'МСФО отчетность'!F5</f>
        <v>45657</v>
      </c>
      <c r="M14" s="380"/>
      <c r="N14" s="275" t="s">
        <v>102</v>
      </c>
    </row>
    <row r="15" spans="2:16" ht="15.75" customHeight="1" x14ac:dyDescent="0.25">
      <c r="B15" s="215" t="s">
        <v>134</v>
      </c>
      <c r="C15" s="107"/>
      <c r="D15" s="107"/>
      <c r="E15" s="107"/>
      <c r="F15" s="107"/>
      <c r="G15" s="107"/>
      <c r="H15" s="382" t="str">
        <f>J58&amp;J57</f>
        <v>C1</v>
      </c>
      <c r="I15" s="382"/>
      <c r="J15" s="223">
        <f>J57</f>
        <v>1</v>
      </c>
      <c r="K15" s="224"/>
      <c r="L15" s="222"/>
      <c r="M15" s="313" t="str">
        <f>L58&amp;L57</f>
        <v>B1</v>
      </c>
      <c r="N15" s="275" t="s">
        <v>102</v>
      </c>
    </row>
    <row r="16" spans="2:16" ht="15.75" customHeight="1" x14ac:dyDescent="0.2">
      <c r="B16" s="220" t="s">
        <v>126</v>
      </c>
      <c r="C16" s="113"/>
      <c r="D16" s="113"/>
      <c r="E16" s="113"/>
      <c r="F16" s="113"/>
      <c r="G16" s="113"/>
      <c r="H16" s="383" t="str">
        <f>ROUND(J55,0)&amp;" "&amp;K55</f>
        <v>74 из 100</v>
      </c>
      <c r="I16" s="383"/>
      <c r="J16" s="223">
        <f>J55</f>
        <v>74</v>
      </c>
      <c r="K16" s="224"/>
      <c r="L16" s="226"/>
      <c r="M16" s="312" t="str">
        <f>L55&amp;" "&amp;K55</f>
        <v>70 из 100</v>
      </c>
      <c r="N16" s="275" t="s">
        <v>102</v>
      </c>
    </row>
    <row r="17" spans="2:19" ht="15.75" customHeight="1" x14ac:dyDescent="0.25">
      <c r="B17" s="221" t="str">
        <f>"КРЕДИТНЫЙ ЛИМИТ КОНТРАГЕНТА, "&amp;'МСФО отчетность'!C2&amp;" "&amp;'МСФО отчетность'!C3</f>
        <v>КРЕДИТНЫЙ ЛИМИТ КОНТРАГЕНТА, mln $</v>
      </c>
      <c r="C17" s="113"/>
      <c r="D17" s="113"/>
      <c r="E17" s="113"/>
      <c r="F17" s="113"/>
      <c r="G17" s="113"/>
      <c r="H17" s="383">
        <f>J89</f>
        <v>1491319.78</v>
      </c>
      <c r="I17" s="383"/>
      <c r="J17" s="223">
        <f>H17</f>
        <v>1491319.78</v>
      </c>
      <c r="K17" s="225">
        <f>L83*L85*L87*(1-L88)</f>
        <v>1223618.2</v>
      </c>
      <c r="L17" s="384">
        <f>L89</f>
        <v>1223618.2</v>
      </c>
      <c r="M17" s="384"/>
      <c r="N17" s="275" t="s">
        <v>102</v>
      </c>
    </row>
    <row r="18" spans="2:19" ht="18" customHeight="1" x14ac:dyDescent="0.25">
      <c r="B18" s="221" t="str">
        <f>"ЛИМИТ АВАНСОВОГО ПЛАТЕЖА, "&amp;'МСФО отчетность'!C2&amp;" "&amp;'МСФО отчетность'!C3</f>
        <v>ЛИМИТ АВАНСОВОГО ПЛАТЕЖА, mln $</v>
      </c>
      <c r="C18" s="113"/>
      <c r="D18" s="113"/>
      <c r="E18" s="113"/>
      <c r="F18" s="113"/>
      <c r="G18" s="113"/>
      <c r="H18" s="383">
        <f>J90</f>
        <v>52141.5</v>
      </c>
      <c r="I18" s="383"/>
      <c r="J18" s="223">
        <f>H18</f>
        <v>52141.5</v>
      </c>
      <c r="K18" s="225"/>
      <c r="L18" s="384">
        <f>L90</f>
        <v>35823.9</v>
      </c>
      <c r="M18" s="384"/>
      <c r="N18" s="275"/>
    </row>
    <row r="19" spans="2:19" ht="9.9499999999999993" customHeight="1" x14ac:dyDescent="0.25">
      <c r="B19" s="227"/>
      <c r="C19" s="67"/>
      <c r="D19" s="67"/>
      <c r="E19" s="67"/>
      <c r="F19" s="67"/>
      <c r="G19" s="67"/>
      <c r="H19" s="224"/>
      <c r="I19" s="224"/>
      <c r="J19" s="224"/>
      <c r="K19" s="224"/>
      <c r="L19" s="224"/>
      <c r="M19" s="224"/>
      <c r="N19" s="316"/>
    </row>
    <row r="20" spans="2:19" ht="18" customHeight="1" x14ac:dyDescent="0.2">
      <c r="B20" s="118" t="s">
        <v>108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316"/>
    </row>
    <row r="21" spans="2:19" ht="4.5" customHeight="1" x14ac:dyDescent="0.25">
      <c r="B21" s="2"/>
      <c r="H21" s="56"/>
      <c r="N21" s="316"/>
      <c r="S21" s="14"/>
    </row>
    <row r="22" spans="2:19" ht="12.75" customHeight="1" x14ac:dyDescent="0.2">
      <c r="B22" s="11"/>
      <c r="C22" s="11"/>
      <c r="D22" s="11"/>
      <c r="E22" s="11"/>
      <c r="F22" s="11"/>
      <c r="G22" s="11"/>
      <c r="J22" s="381">
        <f>'МСФО отчетность'!E5</f>
        <v>46022</v>
      </c>
      <c r="K22" s="381"/>
      <c r="L22" s="381">
        <f>'МСФО отчетность'!F5</f>
        <v>45657</v>
      </c>
      <c r="M22" s="381"/>
      <c r="N22" s="275" t="s">
        <v>102</v>
      </c>
      <c r="P22" s="11"/>
      <c r="Q22" s="11"/>
      <c r="R22" s="11"/>
    </row>
    <row r="23" spans="2:19" ht="18" customHeight="1" x14ac:dyDescent="0.25">
      <c r="B23" s="88" t="s">
        <v>3</v>
      </c>
      <c r="C23" s="92"/>
      <c r="D23" s="92"/>
      <c r="E23" s="92"/>
      <c r="F23" s="117"/>
      <c r="I23" s="120" t="s">
        <v>182</v>
      </c>
      <c r="J23" s="309" t="s">
        <v>98</v>
      </c>
      <c r="K23" s="142" t="s">
        <v>135</v>
      </c>
      <c r="L23" s="309" t="s">
        <v>98</v>
      </c>
      <c r="M23" s="259" t="s">
        <v>135</v>
      </c>
      <c r="N23" s="316"/>
    </row>
    <row r="24" spans="2:19" ht="15.75" customHeight="1" x14ac:dyDescent="0.2">
      <c r="B24" s="76" t="s">
        <v>243</v>
      </c>
      <c r="C24" s="59"/>
      <c r="D24" s="59"/>
      <c r="E24" s="59"/>
      <c r="F24" s="59"/>
      <c r="I24" s="184">
        <v>10</v>
      </c>
      <c r="J24" s="185">
        <f>'МСФО отчетность'!E64</f>
        <v>3.2836953360921597</v>
      </c>
      <c r="K24" s="228">
        <f>ROUND(IF(J24="",0,IF($H$10="Строительство",Подложка!G92*I24/100,IF($H$10="Добыча, переработка и транспортировка газа, нефти и нефтепродуктов",Подложка!L92*I24/100,IF($H$10="Транспортировка и хранение",Подложка!Q92*I24/100,IF($H$10="Торговля",Подложка!V92*I24/100,IF($H$10="Производство",Подложка!AA92*I24/100,IF($H$10="Авиакомпания",Подложка!AF92*I24/100,IF($H$10="Судовладелец",Подложка!AK92*I24/100,IF($H$10="Прочие",Подложка!AP92*I24/100,IF($H$10="ИТ",Подложка!AU92*I24/100,0)))))))))),0)</f>
        <v>10</v>
      </c>
      <c r="L24" s="185">
        <f>'МСФО отчетность'!F64</f>
        <v>2.982127629056134</v>
      </c>
      <c r="M24" s="230">
        <f>IF(L24="",0,IF($H$10="Строительство",Подложка!G55*I24/100,IF($H$10="Добыча, переработка и транспортировка газа, нефти и нефтепродуктов",Подложка!L55*I24/100,IF($H$10="Транспортировка и хранение",Подложка!Q55*I24/100,IF($H$10="Торговля",Подложка!V55*I24/100,IF($H$10="Производство",Подложка!AA55*I24/100,IF($H$10="Авиакомпания",Подложка!AF55*I24/100,IF($H$10="Судовладелец",Подложка!AK55*I24/100,IF($H$10="Прочие",Подложка!AP55*I24/100,IF($H$10="ИТ",Подложка!AU55*I24/100,0))))))))))</f>
        <v>10</v>
      </c>
      <c r="N24" s="275" t="s">
        <v>102</v>
      </c>
    </row>
    <row r="25" spans="2:19" ht="15.75" customHeight="1" x14ac:dyDescent="0.2">
      <c r="B25" s="76" t="s">
        <v>112</v>
      </c>
      <c r="C25" s="59"/>
      <c r="D25" s="59"/>
      <c r="E25" s="59"/>
      <c r="F25" s="59"/>
      <c r="I25" s="184">
        <v>5</v>
      </c>
      <c r="J25" s="185">
        <f>'МСФО отчетность'!E65</f>
        <v>1.7494150542444917</v>
      </c>
      <c r="K25" s="228">
        <f>ROUND(IF(J25="",0,IF($H$10="Строительство",Подложка!G93*I25/100,IF($H$10="Добыча, переработка и транспортировка газа, нефти и нефтепродуктов",Подложка!L93*I25/100,IF($H$10="Транспортировка и хранение",Подложка!Q93*I25/100,IF($H$10="Торговля",Подложка!V93*I25/100,IF($H$10="Производство",Подложка!AA93*I25/100,IF($H$10="Авиакомпания",Подложка!AF93*I25/100,IF($H$10="Судовладелец",Подложка!AK93*I25/100,IF($H$10="Прочие",Подложка!AP93*I25/100,IF($H$10="ИТ",Подложка!AU93*I25/100,0)))))))))),0)</f>
        <v>5</v>
      </c>
      <c r="L25" s="185">
        <f>'МСФО отчетность'!F65</f>
        <v>1.7555589920471366</v>
      </c>
      <c r="M25" s="230">
        <f>IF(L25="",0,IF($H$10="Строительство",Подложка!G56*I25/100,IF($H$10="Добыча, переработка и транспортировка газа, нефти и нефтепродуктов",Подложка!L56*I25/100,IF($H$10="Транспортировка и хранение",Подложка!Q56*I25/100,IF($H$10="Торговля",Подложка!V56*I25/100,IF($H$10="Производство",Подложка!AA56*I25/100,IF($H$10="Авиакомпания",Подложка!AF56*I25/100,IF($H$10="Судовладелец",Подложка!AK56*I25/100,IF($H$10="Прочие",Подложка!AP56*I25/100,IF($H$10="ИТ",Подложка!AU56*I25/100,0))))))))))</f>
        <v>5</v>
      </c>
      <c r="N25" s="275" t="s">
        <v>102</v>
      </c>
    </row>
    <row r="26" spans="2:19" ht="15.75" customHeight="1" x14ac:dyDescent="0.2">
      <c r="B26" s="76" t="s">
        <v>342</v>
      </c>
      <c r="C26" s="59"/>
      <c r="D26" s="59"/>
      <c r="E26" s="59"/>
      <c r="F26" s="59"/>
      <c r="I26" s="184">
        <v>5</v>
      </c>
      <c r="J26" s="314">
        <f>'МСФО отчетность'!E66</f>
        <v>166.83718559905108</v>
      </c>
      <c r="K26" s="228">
        <f>ROUND(IF($H$10="Строительство",Подложка!G94*I26/100,IF($H$10="Добыча, переработка и транспортировка газа, нефти и нефтепродуктов",Подложка!L94*I26/100,IF($H$10="Транспортировка и хранение",Подложка!Q94*I26/100,IF($H$10="Торговля",Подложка!V94*I26/100,IF($H$10="Производство",Подложка!AA94*I26/100,IF($H$10="Авиакомпания",Подложка!AF94*I26/100,IF($H$10="Судовладелец",Подложка!AK94*I26/100,IF($H$10="Прочие",Подложка!AP94*I26/100,IF($H$10="ИТ",Подложка!AU94*I26/100,0))))))))),0)</f>
        <v>0</v>
      </c>
      <c r="L26" s="185">
        <f>'МСФО отчетность'!F66</f>
        <v>140.56013024729162</v>
      </c>
      <c r="M26" s="230">
        <f>IF(L26="",0,IF($H$10="Строительство",Подложка!G57*I26/100,IF($H$10="Добыча, переработка и транспортировка газа, нефти и нефтепродуктов",Подложка!L57*I26/100,IF($H$10="Транспортировка и хранение",Подложка!Q57*I26/100,IF($H$10="Торговля",Подложка!V57*I26/100,IF($H$10="Производство",Подложка!AA57*I26/100,IF($H$10="Авиакомпания",Подложка!AF57*I26/100,IF($H$10="Судовладелец",Подложка!AK57*I26/100,IF($H$10="Прочие",Подложка!AP57*I26/100,IF($H$10="ИТ",Подложка!AU57*I26/100,0))))))))))</f>
        <v>0</v>
      </c>
      <c r="N26" s="275" t="s">
        <v>102</v>
      </c>
    </row>
    <row r="27" spans="2:19" ht="15.75" customHeight="1" x14ac:dyDescent="0.2">
      <c r="B27" s="76" t="s">
        <v>244</v>
      </c>
      <c r="C27" s="59"/>
      <c r="D27" s="59"/>
      <c r="E27" s="59"/>
      <c r="F27" s="59"/>
      <c r="I27" s="184">
        <v>10</v>
      </c>
      <c r="J27" s="185">
        <f>'МСФО отчетность'!E67</f>
        <v>0.70509515482372809</v>
      </c>
      <c r="K27" s="228">
        <f>ROUND(IF(J27="",0,IF($H$10="Строительство",Подложка!G95*I27/100,IF($H$10="Добыча, переработка и транспортировка газа, нефти и нефтепродуктов",Подложка!L95*I27/100,IF($H$10="Транспортировка и хранение",Подложка!Q95*I27/100,IF($H$10="Торговля",Подложка!V95*I27/100,IF($H$10="Производство",Подложка!AA95*I27/100,IF($H$10="Авиакомпания",Подложка!AF95*I27/100,IF($H$10="Судовладелец",Подложка!AK95*I27/100,IF($H$10="Прочие",Подложка!AP95*I27/100,IF($H$10="ИТ",Подложка!AU95*I27/100,0)))))))))),0)</f>
        <v>10</v>
      </c>
      <c r="L27" s="185">
        <f>'МСФО отчетность'!F67</f>
        <v>0.67351065142555633</v>
      </c>
      <c r="M27" s="230">
        <f>IF(L27="",0,IF($H$10="Строительство",Подложка!G58*I27/100,IF($H$10="Добыча, переработка и транспортировка газа, нефти и нефтепродуктов",Подложка!L58*I27/100,IF($H$10="Транспортировка и хранение",Подложка!Q58*I27/100,IF($H$10="Торговля",Подложка!V58*I27/100,IF($H$10="Производство",Подложка!AA58*I27/100,IF($H$10="Авиакомпания",Подложка!AF58*I27/100,IF($H$10="Судовладелец",Подложка!AK58*I27/100,IF($H$10="Прочие",Подложка!AP58*I27/100,IF($H$10="ИТ",Подложка!AU58*I27/100,0))))))))))</f>
        <v>7</v>
      </c>
      <c r="N27" s="275" t="s">
        <v>102</v>
      </c>
    </row>
    <row r="28" spans="2:19" ht="15.75" customHeight="1" x14ac:dyDescent="0.2">
      <c r="B28" s="76" t="s">
        <v>113</v>
      </c>
      <c r="C28" s="59"/>
      <c r="D28" s="59"/>
      <c r="E28" s="59"/>
      <c r="F28" s="59"/>
      <c r="I28" s="184">
        <v>5</v>
      </c>
      <c r="J28" s="185">
        <f>'МСФО отчетность'!E68</f>
        <v>9.6934592194879396</v>
      </c>
      <c r="K28" s="228">
        <f>ROUND(IF(J28="",0,IF($H$10="Строительство",Подложка!G96*I28/100,IF($H$10="Добыча, переработка и транспортировка газа, нефти и нефтепродуктов",Подложка!L96*I28/100,IF($H$10="Транспортировка и хранение",Подложка!Q96*I28/100,IF($H$10="Торговля",Подложка!V96*I28/100,IF($H$10="Производство",Подложка!AA96*I28/100,IF($H$10="Авиакомпания",Подложка!AF96*I28/100,IF($H$10="Судовладелец",Подложка!AK96*I28/100,IF($H$10="Прочие",Подложка!AP96*I28/100,IF($H$10="ИТ",Подложка!AU96*I28/100,0)))))))))),0)</f>
        <v>4</v>
      </c>
      <c r="L28" s="185">
        <f>'МСФО отчетность'!F68</f>
        <v>21.337773979627585</v>
      </c>
      <c r="M28" s="230">
        <f>IF(L28="",0,IF($H$10="Строительство",Подложка!G59*I28/100,IF($H$10="Добыча, переработка и транспортировка газа, нефти и нефтепродуктов",Подложка!L59*I28/100,IF($H$10="Транспортировка и хранение",Подложка!Q59*I28/100,IF($H$10="Торговля",Подложка!V59*I28/100,IF($H$10="Производство",Подложка!AA59*I28/100,IF($H$10="Авиакомпания",Подложка!AF59*I28/100,IF($H$10="Судовладелец",Подложка!AK59*I28/100,IF($H$10="Прочие",Подложка!AP59*I28/100,IF($H$10="ИТ",Подложка!AU59*I28/100,0))))))))))</f>
        <v>5</v>
      </c>
      <c r="N28" s="275" t="s">
        <v>102</v>
      </c>
      <c r="O28" s="16"/>
    </row>
    <row r="29" spans="2:19" ht="15.75" customHeight="1" x14ac:dyDescent="0.2">
      <c r="B29" s="76" t="s">
        <v>245</v>
      </c>
      <c r="C29" s="59"/>
      <c r="D29" s="59"/>
      <c r="E29" s="59"/>
      <c r="F29" s="59"/>
      <c r="I29" s="184">
        <v>10</v>
      </c>
      <c r="J29" s="185">
        <f>'МСФО отчетность'!E69</f>
        <v>0.30470929115289103</v>
      </c>
      <c r="K29" s="228">
        <f>ROUND(IF(J29=0,I29,IF(OR(J29="",J29&lt;0),0,IF($H$10="Строительство",Подложка!G97*I29/100,IF($H$10="Добыча, переработка и транспортировка газа, нефти и нефтепродуктов",Подложка!L97*I29/100,IF($H$10="Транспортировка и хранение",Подложка!Q97*I29/100,IF($H$10="Торговля",Подложка!V97*I29/100,IF($H$10="Производство",Подложка!AA97*I29/100,IF($H$10="Авиакомпания",Подложка!AF97*I29/100,IF($H$10="Судовладелец",Подложка!AK97*I29/100,IF($H$10="Прочие",Подложка!AP97*I29/100,IF($H$10="ИТ",Подложка!AU97*I29/100,0))))))))))),0)</f>
        <v>7</v>
      </c>
      <c r="L29" s="185">
        <f>'МСФО отчетность'!F69</f>
        <v>0.16220914114818402</v>
      </c>
      <c r="M29" s="230">
        <f>IF(L29="",0,IF($H$10="Строительство",Подложка!G60*I29/100,IF($H$10="Добыча, переработка и транспортировка газа, нефти и нефтепродуктов",Подложка!L60*I29/100,IF($H$10="Транспортировка и хранение",Подложка!Q60*I29/100,IF($H$10="Торговля",Подложка!V60*I29/100,IF($H$10="Производство",Подложка!AA60*I29/100,IF($H$10="Авиакомпания",Подложка!AF60*I29/100,IF($H$10="Судовладелец",Подложка!AK60*I29/100,IF($H$10="Прочие",Подложка!AP60*I29/100,IF($H$10="ИТ",Подложка!AU60*I29/100,0))))))))))</f>
        <v>7</v>
      </c>
      <c r="N29" s="275" t="s">
        <v>102</v>
      </c>
    </row>
    <row r="30" spans="2:19" ht="15.75" customHeight="1" x14ac:dyDescent="0.2">
      <c r="B30" s="76" t="s">
        <v>246</v>
      </c>
      <c r="C30" s="59"/>
      <c r="D30" s="59"/>
      <c r="E30" s="59"/>
      <c r="F30" s="59"/>
      <c r="I30" s="184">
        <v>5</v>
      </c>
      <c r="J30" s="314">
        <f>'МСФО отчетность'!E70</f>
        <v>18.72168081316148</v>
      </c>
      <c r="K30" s="228">
        <f>ROUND(IF(J30=0,I30,IF(OR(J30="",J30&lt;0),0,IF($H$10="Строительство",Подложка!G98*I30/100,IF($H$10="Добыча, переработка и транспортировка газа, нефти и нефтепродуктов",Подложка!L98*I30/100,IF($H$10="Транспортировка и хранение",Подложка!Q98*I30/100,IF($H$10="Торговля",Подложка!V98*I30/100,IF($H$10="Производство",Подложка!AA98*I30/100,IF($H$10="Авиакомпания",Подложка!AF98*I30/100,IF($H$10="Судовладелец",Подложка!AK98*I30/100,IF($H$10="Прочие",Подложка!AP98*I30/100,IF($H$10="ИТ",Подложка!AU98*I30/100,0))))))))))),0)</f>
        <v>5</v>
      </c>
      <c r="L30" s="185">
        <f>'МСФО отчетность'!F70</f>
        <v>34.086001453901829</v>
      </c>
      <c r="M30" s="230">
        <f>IF(L30="",0,IF($H$10="Строительство",Подложка!G61*I30/100,IF($H$10="Добыча, переработка и транспортировка газа, нефти и нефтепродуктов",Подложка!L61*I30/100,IF($H$10="Транспортировка и хранение",Подложка!Q61*I30/100,IF($H$10="Торговля",Подложка!V61*I30/100,IF($H$10="Производство",Подложка!AA61*I30/100,IF($H$10="Авиакомпания",Подложка!AF61*I30/100,IF($H$10="Судовладелец",Подложка!AK61*I30/100,IF($H$10="Прочие",Подложка!AP61*I30/100,IF($H$10="ИТ",Подложка!AU61*I30/100,0))))))))))</f>
        <v>5</v>
      </c>
      <c r="N30" s="275" t="s">
        <v>102</v>
      </c>
    </row>
    <row r="31" spans="2:19" ht="15.75" customHeight="1" x14ac:dyDescent="0.2">
      <c r="B31" s="76" t="s">
        <v>247</v>
      </c>
      <c r="C31" s="59"/>
      <c r="D31" s="59"/>
      <c r="E31" s="59"/>
      <c r="F31" s="59"/>
      <c r="I31" s="184">
        <v>5</v>
      </c>
      <c r="J31" s="185">
        <f>'МСФО отчетность'!E71</f>
        <v>0.68527448677635061</v>
      </c>
      <c r="K31" s="228">
        <f>ROUND(IF(J24="",0,IF(OR(J31="",J31&lt;0),0,IF($H$10="Строительство",Подложка!G99*I31/100,IF($H$10="Добыча, переработка и транспортировка газа, нефти и нефтепродуктов",Подложка!L99*I31/100,IF($H$10="Транспортировка и хранение",Подложка!Q99*I31/100,IF($H$10="Торговля",Подложка!V99*I31/100,IF($H$10="Производство",Подложка!AA99*I31/100,IF($H$10="Авиакомпания",Подложка!AF99*I31/100,IF($H$10="Судовладелец",Подложка!AK99*I31/100,IF($H$10="Прочие",Подложка!AP99*I31/100,IF($H$10="ИТ",Подложка!AU99*I31/100,0))))))))))),0)</f>
        <v>5</v>
      </c>
      <c r="L31" s="185">
        <f>'МСФО отчетность'!F71</f>
        <v>0.65401698481887871</v>
      </c>
      <c r="M31" s="230">
        <f>IF(L31="",0,IF($H$10="Строительство",Подложка!G62*I31/100,IF($H$10="Добыча, переработка и транспортировка газа, нефти и нефтепродуктов",Подложка!L62*I31/100,IF($H$10="Транспортировка и хранение",Подложка!Q62*I31/100,IF($H$10="Торговля",Подложка!V62*I31/100,IF($H$10="Производство",Подложка!AA62*I31/100,IF($H$10="Авиакомпания",Подложка!AF62*I31/100,IF($H$10="Судовладелец",Подложка!AK62*I31/100,IF($H$10="Прочие",Подложка!AP62*I31/100,IF($H$10="ИТ",Подложка!AU62*I31/100,0))))))))))</f>
        <v>5</v>
      </c>
      <c r="N31" s="275" t="s">
        <v>102</v>
      </c>
    </row>
    <row r="32" spans="2:19" ht="15.75" customHeight="1" x14ac:dyDescent="0.2">
      <c r="B32" s="76" t="s">
        <v>255</v>
      </c>
      <c r="C32" s="59"/>
      <c r="D32" s="59"/>
      <c r="E32" s="59"/>
      <c r="F32" s="59"/>
      <c r="I32" s="184">
        <v>4</v>
      </c>
      <c r="J32" s="314">
        <f>'МСФО отчетность'!E72</f>
        <v>26.007658916203187</v>
      </c>
      <c r="K32" s="228">
        <f>ROUND(IF(J32="",0,IF(OR(J32="",J32&lt;0),0,IF($H$10="Строительство",Подложка!G100*I32/100,IF($H$10="Добыча, переработка и транспортировка газа, нефти и нефтепродуктов",Подложка!L100*I32/100,IF($H$10="Транспортировка и хранение",Подложка!Q100*I32/100,IF($H$10="Торговля",Подложка!V100*I32/100,IF($H$10="Производство",Подложка!AA100*I32/100,IF($H$10="Авиакомпания",Подложка!AF100*I32/100,IF($H$10="Судовладелец",Подложка!AK100*I32/100,IF($H$10="Прочие",Подложка!AP100*I32/100,IF($H$10="ИТ",Подложка!AU100*I32/100,0))))))))))),0)</f>
        <v>3</v>
      </c>
      <c r="L32" s="185">
        <f>'МСФО отчетность'!F72</f>
        <v>65.990770714054079</v>
      </c>
      <c r="M32" s="230">
        <f>IF(L32="",0,IF($H$10="Строительство",Подложка!G63*I32/100,IF($H$10="Добыча, переработка и транспортировка газа, нефти и нефтепродуктов",Подложка!L63*I32/100,IF($H$10="Транспортировка и хранение",Подложка!Q63*I32/100,IF($H$10="Торговля",Подложка!V63*I32/100,IF($H$10="Производство",Подложка!AA63*I32/100,IF($H$10="Авиакомпания",Подложка!AF63*I32/100,IF($H$10="Судовладелец",Подложка!AK63*I32/100,IF($H$10="Прочие",Подложка!AP63*I32/100,IF($H$10="ИТ",Подложка!AU63*I32/100,0))))))))))</f>
        <v>4</v>
      </c>
      <c r="N32" s="275" t="s">
        <v>102</v>
      </c>
    </row>
    <row r="33" spans="2:15" ht="15.75" customHeight="1" x14ac:dyDescent="0.2">
      <c r="B33" s="76" t="s">
        <v>248</v>
      </c>
      <c r="C33" s="59"/>
      <c r="D33" s="59"/>
      <c r="E33" s="59"/>
      <c r="F33" s="59"/>
      <c r="G33" s="6"/>
      <c r="H33" s="6"/>
      <c r="I33" s="184">
        <v>3</v>
      </c>
      <c r="J33" s="185" t="str">
        <f>'МСФО отчетность'!E73</f>
        <v>Рост</v>
      </c>
      <c r="K33" s="228">
        <f>VLOOKUP(J33,Подложка!$AD$3:$AE$6,2,0)</f>
        <v>3</v>
      </c>
      <c r="L33" s="185" t="str">
        <f>'МСФО отчетность'!F73</f>
        <v>На прежнем уровне</v>
      </c>
      <c r="M33" s="230">
        <f>VLOOKUP(L33,Подложка!$AD$3:$AE$6,2,0)</f>
        <v>0</v>
      </c>
      <c r="N33" s="275" t="s">
        <v>102</v>
      </c>
    </row>
    <row r="34" spans="2:15" ht="15.75" customHeight="1" x14ac:dyDescent="0.2">
      <c r="B34" s="97" t="s">
        <v>249</v>
      </c>
      <c r="C34" s="83"/>
      <c r="D34" s="83"/>
      <c r="E34" s="83"/>
      <c r="F34" s="83"/>
      <c r="G34" s="216"/>
      <c r="H34" s="216"/>
      <c r="I34" s="186">
        <v>3</v>
      </c>
      <c r="J34" s="257" t="str">
        <f>'МСФО отчетность'!E74</f>
        <v>Снижение</v>
      </c>
      <c r="K34" s="228">
        <f>VLOOKUP(J34,Подложка!$AD$3:$AE$6,2,0)</f>
        <v>-3</v>
      </c>
      <c r="L34" s="185" t="str">
        <f>'МСФО отчетность'!F74</f>
        <v>Снижение</v>
      </c>
      <c r="M34" s="230">
        <f>VLOOKUP(L34,Подложка!$AD$3:$AE$6,2,0)</f>
        <v>-3</v>
      </c>
      <c r="N34" s="275" t="s">
        <v>102</v>
      </c>
    </row>
    <row r="35" spans="2:15" ht="15.75" customHeight="1" x14ac:dyDescent="0.2">
      <c r="B35" s="249" t="s">
        <v>115</v>
      </c>
      <c r="C35" s="80"/>
      <c r="D35" s="80"/>
      <c r="E35" s="80"/>
      <c r="F35" s="80"/>
      <c r="I35" s="187">
        <f>SUM(I24:I34)</f>
        <v>65</v>
      </c>
      <c r="J35" s="188"/>
      <c r="K35" s="261">
        <f>SUM(K24:K34)</f>
        <v>49</v>
      </c>
      <c r="L35" s="252"/>
      <c r="M35" s="261">
        <f>SUM(M24:M34)</f>
        <v>45</v>
      </c>
      <c r="N35" s="275" t="s">
        <v>102</v>
      </c>
    </row>
    <row r="36" spans="2:15" ht="9.9499999999999993" customHeight="1" x14ac:dyDescent="0.25">
      <c r="B36" s="63"/>
      <c r="C36" s="63"/>
      <c r="D36" s="63"/>
      <c r="E36" s="63"/>
      <c r="F36" s="63"/>
      <c r="G36" s="63"/>
      <c r="H36" s="64"/>
      <c r="I36" s="64"/>
      <c r="J36" s="64"/>
      <c r="K36" s="64"/>
      <c r="L36" s="64"/>
      <c r="M36" s="64"/>
      <c r="N36" s="316"/>
    </row>
    <row r="37" spans="2:15" ht="18" customHeight="1" x14ac:dyDescent="0.2">
      <c r="B37" s="118" t="s">
        <v>114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275"/>
    </row>
    <row r="38" spans="2:15" ht="4.5" customHeight="1" x14ac:dyDescent="0.25">
      <c r="B38" s="7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75"/>
    </row>
    <row r="39" spans="2:15" ht="12.75" customHeight="1" x14ac:dyDescent="0.2">
      <c r="B39" s="11"/>
      <c r="C39" s="11"/>
      <c r="D39" s="11"/>
      <c r="E39" s="11"/>
      <c r="F39" s="11"/>
      <c r="I39" s="11"/>
      <c r="J39" s="251">
        <f>'МСФО отчетность'!E5</f>
        <v>46022</v>
      </c>
      <c r="K39" s="251"/>
      <c r="L39" s="251">
        <f>'МСФО отчетность'!F5</f>
        <v>45657</v>
      </c>
      <c r="M39" s="251"/>
      <c r="N39" s="275" t="s">
        <v>102</v>
      </c>
    </row>
    <row r="40" spans="2:15" ht="18" customHeight="1" x14ac:dyDescent="0.25">
      <c r="B40" s="88" t="s">
        <v>3</v>
      </c>
      <c r="C40" s="92"/>
      <c r="D40" s="92"/>
      <c r="E40" s="92"/>
      <c r="F40" s="117"/>
      <c r="I40" s="120" t="s">
        <v>182</v>
      </c>
      <c r="J40" s="308" t="s">
        <v>98</v>
      </c>
      <c r="K40" s="142" t="s">
        <v>135</v>
      </c>
      <c r="L40" s="308" t="s">
        <v>98</v>
      </c>
      <c r="M40" s="259" t="s">
        <v>135</v>
      </c>
      <c r="N40" s="275"/>
    </row>
    <row r="41" spans="2:15" ht="15.75" customHeight="1" x14ac:dyDescent="0.2">
      <c r="B41" s="76" t="s">
        <v>116</v>
      </c>
      <c r="C41" s="69"/>
      <c r="D41" s="69"/>
      <c r="E41" s="69"/>
      <c r="F41" s="69"/>
      <c r="I41" s="90">
        <v>10</v>
      </c>
      <c r="J41" s="181" t="s">
        <v>83</v>
      </c>
      <c r="K41" s="230">
        <f>IF($J$41="более 3-х лет",100*I41/100,IF($J$41="от 1 до 3-х лет",70*I41/100,IF($J$41="менее 1 года",40*I41/100,0)))</f>
        <v>10</v>
      </c>
      <c r="L41" s="181" t="s">
        <v>83</v>
      </c>
      <c r="M41" s="230">
        <f>IF($L$41="более 3-х лет",100*I41/100,IF($L$41="от 1 до 3-х лет",70*I41/100,IF($L$41="менее 1 года",40*I41/100,0)))</f>
        <v>10</v>
      </c>
      <c r="N41" s="275" t="s">
        <v>208</v>
      </c>
    </row>
    <row r="42" spans="2:15" ht="15.75" customHeight="1" x14ac:dyDescent="0.2">
      <c r="B42" s="97" t="s">
        <v>117</v>
      </c>
      <c r="C42" s="98"/>
      <c r="D42" s="98"/>
      <c r="E42" s="98"/>
      <c r="F42" s="98"/>
      <c r="G42" s="216"/>
      <c r="H42" s="216"/>
      <c r="I42" s="293">
        <v>15</v>
      </c>
      <c r="J42" s="182" t="s">
        <v>88</v>
      </c>
      <c r="K42" s="229">
        <f>IF(OR(J42="ПДЗ отсутствовала",J42="Техническая ПДЗ"),15,IF(J42="Разовая ПДЗ продолжительностью менее 30 дней",10,IF(J42="Разовая ПДЗ продолжительностью более 30 дней",7.5,IF(J42="Неоднократное возникновение ПДЗ",3.5,IF(J42="Информация отсутствует",3.5,0)))))</f>
        <v>15</v>
      </c>
      <c r="L42" s="182" t="s">
        <v>88</v>
      </c>
      <c r="M42" s="260">
        <f>IF(OR(L42="ПДЗ отсутствовала",L42="Техническая ПДЗ"),15,IF(L42="Разовая ПДЗ продолжительностью менее 30 дней",10,IF(L42="Разовая ПДЗ продолжительностью более 30 дней",7.5,IF(L42="Неоднократное возникновение ПДЗ",3.5,IF(L42="Информация отсутствует",3.5,0)))))</f>
        <v>15</v>
      </c>
      <c r="N42" s="275" t="s">
        <v>208</v>
      </c>
    </row>
    <row r="43" spans="2:15" ht="15.75" customHeight="1" x14ac:dyDescent="0.25">
      <c r="B43" s="249" t="s">
        <v>115</v>
      </c>
      <c r="C43" s="80"/>
      <c r="D43" s="80"/>
      <c r="E43" s="80"/>
      <c r="F43" s="80"/>
      <c r="I43" s="96">
        <v>25</v>
      </c>
      <c r="J43" s="57"/>
      <c r="K43" s="311">
        <f>SUM(K41:K42)</f>
        <v>25</v>
      </c>
      <c r="L43" s="183"/>
      <c r="M43" s="311">
        <f>SUM(M41:M42)</f>
        <v>25</v>
      </c>
      <c r="N43" s="275" t="s">
        <v>102</v>
      </c>
      <c r="O43" s="16"/>
    </row>
    <row r="44" spans="2:15" ht="9.9499999999999993" customHeight="1" x14ac:dyDescent="0.2">
      <c r="B44" s="5"/>
      <c r="C44" s="5"/>
      <c r="D44" s="5"/>
      <c r="E44" s="5"/>
      <c r="F44" s="5"/>
      <c r="G44" s="5"/>
      <c r="H44" s="6"/>
      <c r="I44" s="6"/>
      <c r="J44" s="6"/>
      <c r="K44" s="6"/>
      <c r="L44" s="5"/>
      <c r="M44" s="5"/>
      <c r="N44" s="316"/>
    </row>
    <row r="45" spans="2:15" s="51" customFormat="1" ht="18" customHeight="1" x14ac:dyDescent="0.25">
      <c r="B45" s="118" t="s">
        <v>118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275"/>
    </row>
    <row r="46" spans="2:15" ht="6" customHeight="1" x14ac:dyDescent="0.25">
      <c r="B46" s="81"/>
      <c r="C46" s="57"/>
      <c r="D46" s="57"/>
      <c r="E46" s="57"/>
      <c r="F46" s="57"/>
      <c r="G46" s="57"/>
      <c r="H46" s="82"/>
      <c r="I46" s="82"/>
      <c r="J46" s="82"/>
      <c r="K46" s="82"/>
      <c r="L46" s="82"/>
      <c r="M46" s="82"/>
      <c r="N46" s="316"/>
    </row>
    <row r="47" spans="2:15" ht="6" customHeight="1" x14ac:dyDescent="0.25">
      <c r="B47" s="81"/>
      <c r="C47" s="57"/>
      <c r="D47" s="57"/>
      <c r="E47" s="57"/>
      <c r="F47" s="57"/>
      <c r="G47" s="57"/>
      <c r="H47" s="82"/>
      <c r="I47" s="82"/>
      <c r="J47" s="82"/>
      <c r="K47" s="82"/>
      <c r="L47" s="82"/>
      <c r="M47" s="82"/>
      <c r="N47" s="316"/>
    </row>
    <row r="48" spans="2:15" ht="12.75" customHeight="1" x14ac:dyDescent="0.25">
      <c r="B48" s="81"/>
      <c r="C48" s="57"/>
      <c r="D48" s="57"/>
      <c r="E48" s="57"/>
      <c r="F48" s="57"/>
      <c r="I48" s="57"/>
      <c r="J48" s="251">
        <f>'МСФО отчетность'!E5</f>
        <v>46022</v>
      </c>
      <c r="K48" s="251"/>
      <c r="L48" s="82"/>
      <c r="M48" s="82"/>
      <c r="N48" s="275" t="s">
        <v>102</v>
      </c>
    </row>
    <row r="49" spans="2:14" ht="18" customHeight="1" x14ac:dyDescent="0.2">
      <c r="B49" s="79" t="s">
        <v>121</v>
      </c>
      <c r="C49" s="5"/>
      <c r="D49" s="5"/>
      <c r="E49" s="5"/>
      <c r="F49" s="84"/>
      <c r="I49" s="120" t="s">
        <v>182</v>
      </c>
      <c r="J49" s="308" t="s">
        <v>98</v>
      </c>
      <c r="K49" s="142" t="s">
        <v>135</v>
      </c>
      <c r="L49" s="427" t="s">
        <v>136</v>
      </c>
      <c r="M49" s="428"/>
      <c r="N49" s="316"/>
    </row>
    <row r="50" spans="2:14" ht="23.25" customHeight="1" x14ac:dyDescent="0.2">
      <c r="B50" s="87" t="s">
        <v>119</v>
      </c>
      <c r="C50" s="86"/>
      <c r="D50" s="86"/>
      <c r="E50" s="86"/>
      <c r="F50" s="86"/>
      <c r="I50" s="91">
        <v>10</v>
      </c>
      <c r="J50" s="319" t="str">
        <f ca="1">IF(OR(L98="",L98=0),"Информация отсутствует",IF(L98&gt;TODAY(),"Информация некорректна",IF(TODAY()-L98&lt;730,"Менее 2 лет",IF(TODAY()-L98&lt;1825,"От 2 до 5-и лет","Более 5 лет"))))</f>
        <v>Информация отсутствует</v>
      </c>
      <c r="K50" s="229">
        <f>IF(OR(L98="Информация отсутствует",L98="Информация некорректна"),0,IF(L98="Менее 2 лет",40*I98/100,IF(L98="От 2 до 5-и лет",70*I98/100,100*I98/100)))</f>
        <v>0</v>
      </c>
      <c r="L50" s="364">
        <v>34928</v>
      </c>
      <c r="M50" s="364"/>
      <c r="N50" s="275" t="s">
        <v>125</v>
      </c>
    </row>
    <row r="51" spans="2:14" ht="15.75" customHeight="1" x14ac:dyDescent="0.2">
      <c r="B51" s="249" t="s">
        <v>115</v>
      </c>
      <c r="C51" s="294"/>
      <c r="D51" s="294"/>
      <c r="E51" s="294"/>
      <c r="F51" s="294"/>
      <c r="I51" s="93">
        <v>10</v>
      </c>
      <c r="J51" s="144"/>
      <c r="K51" s="311">
        <f>IF(ROUND(SUM(K98),2)&lt;0,0,ROUND(SUM(K98),2))</f>
        <v>0</v>
      </c>
      <c r="L51" s="67"/>
      <c r="M51" s="66"/>
      <c r="N51" s="275" t="s">
        <v>102</v>
      </c>
    </row>
    <row r="52" spans="2:14" ht="9.9499999999999993" customHeight="1" x14ac:dyDescent="0.2">
      <c r="B52" s="80"/>
      <c r="C52" s="80"/>
      <c r="D52" s="80"/>
      <c r="E52" s="80"/>
      <c r="F52" s="80"/>
      <c r="G52" s="202"/>
      <c r="H52" s="65"/>
      <c r="I52" s="65"/>
      <c r="J52" s="65"/>
      <c r="K52" s="67"/>
      <c r="L52" s="67"/>
      <c r="M52" s="66"/>
      <c r="N52" s="275"/>
    </row>
    <row r="53" spans="2:14" ht="7.5" customHeight="1" x14ac:dyDescent="0.2">
      <c r="B53" s="80"/>
      <c r="C53" s="80"/>
      <c r="D53" s="80"/>
      <c r="E53" s="80"/>
      <c r="F53" s="80"/>
      <c r="G53" s="202"/>
      <c r="H53" s="65"/>
      <c r="I53" s="65"/>
      <c r="J53" s="65"/>
      <c r="K53" s="67"/>
      <c r="L53" s="11"/>
      <c r="M53" s="247"/>
      <c r="N53" s="275"/>
    </row>
    <row r="54" spans="2:14" ht="14.25" customHeight="1" x14ac:dyDescent="0.2">
      <c r="B54" s="80"/>
      <c r="C54" s="80"/>
      <c r="D54" s="80"/>
      <c r="E54" s="80"/>
      <c r="F54" s="80"/>
      <c r="I54" s="202"/>
      <c r="J54" s="251">
        <f>'МСФО отчетность'!E5</f>
        <v>46022</v>
      </c>
      <c r="K54" s="251"/>
      <c r="L54" s="251">
        <f>'МСФО отчетность'!F5</f>
        <v>45657</v>
      </c>
      <c r="M54" s="251"/>
      <c r="N54" s="275"/>
    </row>
    <row r="55" spans="2:14" ht="15.75" customHeight="1" x14ac:dyDescent="0.25">
      <c r="B55" s="108" t="s">
        <v>122</v>
      </c>
      <c r="C55" s="109"/>
      <c r="D55" s="110"/>
      <c r="E55" s="110"/>
      <c r="F55" s="110"/>
      <c r="G55" s="110"/>
      <c r="H55" s="110"/>
      <c r="I55" s="110">
        <f>SUM(I35,I43,I51)</f>
        <v>100</v>
      </c>
      <c r="J55" s="111">
        <f>IF(LEFT(H11,2)="Да",0,SUM(K35,K43,K99))</f>
        <v>74</v>
      </c>
      <c r="K55" s="112" t="s">
        <v>101</v>
      </c>
      <c r="L55" s="111">
        <f>IF(LEFT(H11,2)="Да",0,SUM(M35,M43,K99))</f>
        <v>70</v>
      </c>
      <c r="M55" s="248" t="s">
        <v>101</v>
      </c>
      <c r="N55" s="275" t="s">
        <v>102</v>
      </c>
    </row>
    <row r="56" spans="2:14" ht="4.5" customHeight="1" x14ac:dyDescent="0.25">
      <c r="B56" s="100"/>
      <c r="C56" s="101"/>
      <c r="D56" s="101"/>
      <c r="E56" s="101"/>
      <c r="F56" s="101"/>
      <c r="I56" s="101"/>
      <c r="J56" s="102"/>
      <c r="K56" s="102"/>
      <c r="L56" s="102"/>
      <c r="M56" s="67"/>
      <c r="N56" s="275"/>
    </row>
    <row r="57" spans="2:14" ht="15.75" customHeight="1" x14ac:dyDescent="0.25">
      <c r="B57" s="99" t="s">
        <v>123</v>
      </c>
      <c r="C57" s="11"/>
      <c r="D57" s="11"/>
      <c r="E57" s="11"/>
      <c r="F57" s="11"/>
      <c r="I57" s="11"/>
      <c r="J57" s="389">
        <f>IF(LEFT(H11,2)="Да",4,IF($H$10="Строительство",Подложка!G82,IF($H$10="Добыча, переработка и транспортировка газа, нефти и нефтепродуктов",Подложка!L82,IF($H$10="Транспортировка и хранение",Подложка!Q82,IF($H$10="Торговля",Подложка!V82,IF($H$10="Производство",Подложка!AA82,IF($H$10="Авиакомпания",Подложка!AF82,IF($H$10="Судовладелец",Подложка!AK82,IF($H$10="Прочие",Подложка!AP82,IF($H$10="ИТ",Подложка!AU82,0))))))))))</f>
        <v>1</v>
      </c>
      <c r="K57" s="390"/>
      <c r="L57" s="389">
        <f>IF(LEFT(H11,2)="Да",4,IF($H$10="Строительство",Подложка!G83,IF($H$10="Добыча, переработка и транспортировка газа, нефти и нефтепродуктов",Подложка!L83,IF($H$10="Транспортировка и хранение",Подложка!Q83,IF($H$10="Торговля",Подложка!V83,IF($H$10="Производство",Подложка!AA83,IF($H$10="Авиакомпания",Подложка!AF83,IF($H$10="Судовладелец",Подложка!AK83,IF($H$10="Прочие",Подложка!AP83,IF($H$10="ИТ",Подложка!AU83,0))))))))))</f>
        <v>1</v>
      </c>
      <c r="M57" s="391"/>
      <c r="N57" s="275" t="s">
        <v>102</v>
      </c>
    </row>
    <row r="58" spans="2:14" ht="15.75" customHeight="1" x14ac:dyDescent="0.25">
      <c r="B58" s="99" t="s">
        <v>124</v>
      </c>
      <c r="C58" s="11"/>
      <c r="D58" s="11"/>
      <c r="E58" s="11"/>
      <c r="F58" s="11"/>
      <c r="I58" s="11"/>
      <c r="J58" s="392" t="s">
        <v>153</v>
      </c>
      <c r="K58" s="393"/>
      <c r="L58" s="392" t="s">
        <v>152</v>
      </c>
      <c r="M58" s="394"/>
      <c r="N58" s="275" t="s">
        <v>145</v>
      </c>
    </row>
    <row r="59" spans="2:14" ht="7.5" customHeight="1" x14ac:dyDescent="0.2">
      <c r="B59" s="80"/>
      <c r="C59" s="80"/>
      <c r="D59" s="80"/>
      <c r="E59" s="80"/>
      <c r="F59" s="80"/>
      <c r="G59" s="202"/>
      <c r="H59" s="381"/>
      <c r="I59" s="381"/>
      <c r="J59" s="381"/>
      <c r="K59" s="381"/>
      <c r="L59" s="381"/>
      <c r="M59" s="381"/>
      <c r="N59" s="275"/>
    </row>
    <row r="60" spans="2:14" ht="10.5" customHeight="1" x14ac:dyDescent="0.2">
      <c r="B60" s="80"/>
      <c r="C60" s="80"/>
      <c r="D60" s="80"/>
      <c r="E60" s="80"/>
      <c r="F60" s="80"/>
      <c r="G60" s="202"/>
      <c r="H60" s="310"/>
      <c r="I60" s="310"/>
      <c r="J60" s="310"/>
      <c r="K60" s="310"/>
      <c r="L60" s="310"/>
      <c r="M60" s="310"/>
      <c r="N60" s="275"/>
    </row>
    <row r="61" spans="2:14" ht="18" customHeight="1" x14ac:dyDescent="0.2">
      <c r="B61" s="141" t="s">
        <v>335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316"/>
    </row>
    <row r="62" spans="2:14" ht="4.5" customHeight="1" x14ac:dyDescent="0.2">
      <c r="B62" s="80"/>
      <c r="C62" s="80"/>
      <c r="D62" s="80"/>
      <c r="E62" s="80"/>
      <c r="F62" s="80"/>
      <c r="G62" s="202"/>
      <c r="H62" s="310"/>
      <c r="I62" s="310"/>
      <c r="J62" s="310"/>
      <c r="K62" s="310"/>
      <c r="L62" s="310"/>
      <c r="M62" s="310"/>
      <c r="N62" s="275"/>
    </row>
    <row r="63" spans="2:14" ht="18" customHeight="1" x14ac:dyDescent="0.2">
      <c r="B63" s="87"/>
      <c r="C63" s="80"/>
      <c r="D63" s="80"/>
      <c r="E63" s="80"/>
      <c r="F63" s="80"/>
      <c r="I63" s="120" t="s">
        <v>182</v>
      </c>
      <c r="J63" s="308" t="s">
        <v>98</v>
      </c>
      <c r="K63" s="344" t="s">
        <v>135</v>
      </c>
      <c r="L63" s="280"/>
      <c r="M63" s="280"/>
      <c r="N63" s="275"/>
    </row>
    <row r="64" spans="2:14" ht="18.75" customHeight="1" x14ac:dyDescent="0.2">
      <c r="B64" s="87" t="s">
        <v>239</v>
      </c>
      <c r="C64" s="80"/>
      <c r="D64" s="80"/>
      <c r="E64" s="80"/>
      <c r="F64" s="80"/>
      <c r="G64" s="6"/>
      <c r="H64" s="6"/>
      <c r="I64" s="296">
        <v>10</v>
      </c>
      <c r="J64" s="346" t="s">
        <v>302</v>
      </c>
      <c r="K64" s="295">
        <f>VLOOKUP(J64,Подложка!X3:Z28,2,0)</f>
        <v>0</v>
      </c>
      <c r="L64" s="280"/>
      <c r="M64" s="280"/>
      <c r="N64" s="275" t="s">
        <v>102</v>
      </c>
    </row>
    <row r="65" spans="2:20" ht="18.75" customHeight="1" x14ac:dyDescent="0.2">
      <c r="B65" s="345" t="s">
        <v>240</v>
      </c>
      <c r="C65" s="245"/>
      <c r="D65" s="245"/>
      <c r="E65" s="245"/>
      <c r="F65" s="245"/>
      <c r="G65" s="216"/>
      <c r="H65" s="216"/>
      <c r="I65" s="277">
        <v>10</v>
      </c>
      <c r="J65" s="347" t="s">
        <v>302</v>
      </c>
      <c r="K65" s="229">
        <f>VLOOKUP(J65,Подложка!X3:Z28,3,0)</f>
        <v>0</v>
      </c>
      <c r="L65" s="406"/>
      <c r="M65" s="406"/>
      <c r="N65" s="275" t="s">
        <v>102</v>
      </c>
    </row>
    <row r="66" spans="2:20" ht="14.25" customHeight="1" x14ac:dyDescent="0.2">
      <c r="B66" s="249" t="s">
        <v>301</v>
      </c>
      <c r="C66" s="80"/>
      <c r="D66" s="80"/>
      <c r="E66" s="80"/>
      <c r="F66" s="80"/>
      <c r="I66" s="93">
        <v>20</v>
      </c>
      <c r="J66" s="278"/>
      <c r="K66" s="311">
        <f>K64+K65</f>
        <v>0</v>
      </c>
      <c r="L66" s="310"/>
      <c r="M66" s="310"/>
      <c r="N66" s="275"/>
    </row>
    <row r="67" spans="2:20" ht="7.5" customHeight="1" x14ac:dyDescent="0.2">
      <c r="B67" s="249"/>
      <c r="C67" s="80"/>
      <c r="D67" s="80"/>
      <c r="E67" s="80"/>
      <c r="F67" s="80"/>
      <c r="G67" s="202"/>
      <c r="H67" s="310"/>
      <c r="I67" s="310"/>
      <c r="J67" s="310"/>
      <c r="K67" s="310"/>
      <c r="L67" s="310"/>
      <c r="M67" s="310"/>
      <c r="N67" s="275"/>
    </row>
    <row r="68" spans="2:20" ht="14.25" customHeight="1" x14ac:dyDescent="0.2">
      <c r="B68" s="141" t="s">
        <v>258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275"/>
    </row>
    <row r="69" spans="2:20" ht="4.5" customHeight="1" x14ac:dyDescent="0.2">
      <c r="B69" s="249"/>
      <c r="C69" s="80"/>
      <c r="D69" s="80"/>
      <c r="E69" s="80"/>
      <c r="F69" s="80"/>
      <c r="G69" s="202"/>
      <c r="H69" s="310"/>
      <c r="I69" s="310"/>
      <c r="J69" s="310"/>
      <c r="K69" s="310"/>
      <c r="L69" s="310"/>
      <c r="M69" s="310"/>
      <c r="N69" s="275"/>
    </row>
    <row r="70" spans="2:20" ht="18" customHeight="1" x14ac:dyDescent="0.2">
      <c r="B70" s="249"/>
      <c r="C70" s="80"/>
      <c r="D70" s="80"/>
      <c r="E70" s="80"/>
      <c r="F70" s="80"/>
      <c r="G70" s="202"/>
      <c r="J70" s="407" t="s">
        <v>98</v>
      </c>
      <c r="K70" s="408"/>
      <c r="L70" s="407" t="s">
        <v>269</v>
      </c>
      <c r="M70" s="413"/>
      <c r="N70" s="275"/>
    </row>
    <row r="71" spans="2:20" ht="15.95" customHeight="1" x14ac:dyDescent="0.2">
      <c r="B71" s="269" t="s">
        <v>256</v>
      </c>
      <c r="C71" s="80"/>
      <c r="D71" s="80"/>
      <c r="E71" s="80"/>
      <c r="F71" s="80"/>
      <c r="G71" s="202"/>
      <c r="J71" s="409" t="s">
        <v>270</v>
      </c>
      <c r="K71" s="410"/>
      <c r="L71" s="414">
        <f>VLOOKUP(J71,Подложка!Q3:R7,2,0)</f>
        <v>0</v>
      </c>
      <c r="M71" s="415"/>
      <c r="N71" s="275" t="s">
        <v>102</v>
      </c>
    </row>
    <row r="72" spans="2:20" ht="15.95" customHeight="1" x14ac:dyDescent="0.2">
      <c r="B72" s="250" t="s">
        <v>257</v>
      </c>
      <c r="C72" s="245"/>
      <c r="D72" s="245"/>
      <c r="E72" s="245"/>
      <c r="F72" s="245"/>
      <c r="G72" s="246"/>
      <c r="H72" s="216"/>
      <c r="I72" s="217"/>
      <c r="J72" s="411" t="s">
        <v>270</v>
      </c>
      <c r="K72" s="412"/>
      <c r="L72" s="416">
        <f>VLOOKUP(J72,Подложка!S2:T5,2,0)</f>
        <v>0</v>
      </c>
      <c r="M72" s="417"/>
      <c r="N72" s="275" t="s">
        <v>102</v>
      </c>
    </row>
    <row r="73" spans="2:20" ht="14.25" customHeight="1" x14ac:dyDescent="0.2">
      <c r="B73" s="249" t="s">
        <v>331</v>
      </c>
      <c r="C73" s="80"/>
      <c r="D73" s="80"/>
      <c r="E73" s="80"/>
      <c r="F73" s="80"/>
      <c r="G73" s="202"/>
      <c r="J73" s="276"/>
      <c r="K73" s="302"/>
      <c r="L73" s="418">
        <f>MAX(K71:M72)</f>
        <v>0</v>
      </c>
      <c r="M73" s="419"/>
      <c r="N73" s="275" t="s">
        <v>102</v>
      </c>
    </row>
    <row r="74" spans="2:20" ht="9.9499999999999993" customHeight="1" x14ac:dyDescent="0.25">
      <c r="B74" s="100"/>
      <c r="C74" s="101"/>
      <c r="D74" s="101"/>
      <c r="E74" s="101"/>
      <c r="F74" s="101"/>
      <c r="G74" s="101"/>
      <c r="I74" s="102"/>
      <c r="J74" s="102"/>
      <c r="K74" s="67"/>
      <c r="L74" s="67"/>
      <c r="M74" s="66"/>
      <c r="N74" s="275"/>
    </row>
    <row r="75" spans="2:20" ht="18" customHeight="1" x14ac:dyDescent="0.2">
      <c r="B75" s="118" t="str">
        <f>"6. РАСЧЕТ КРЕДИТНОГО ЛИМИТА И АВАНСОВОГО ПЛАТЕЖА"&amp;", "&amp;'МСФО отчетность'!C2&amp;" "&amp;'МСФО отчетность'!C3</f>
        <v>6. РАСЧЕТ КРЕДИТНОГО ЛИМИТА И АВАНСОВОГО ПЛАТЕЖА, mln $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316"/>
    </row>
    <row r="76" spans="2:20" ht="18.75" customHeight="1" x14ac:dyDescent="0.25">
      <c r="J76" s="297">
        <f>J22</f>
        <v>46022</v>
      </c>
      <c r="K76" s="297"/>
      <c r="L76" s="297">
        <f>L22</f>
        <v>45657</v>
      </c>
      <c r="M76" s="297"/>
      <c r="N76" s="316"/>
    </row>
    <row r="77" spans="2:20" ht="15.75" customHeight="1" x14ac:dyDescent="0.2">
      <c r="B77" s="76" t="str">
        <f>"Внеоборотные активы (ОС+НС),  "&amp;'МСФО отчетность'!C2&amp;" "&amp;'МСФО отчетность'!C3</f>
        <v>Внеоборотные активы (ОС+НС),  mln $</v>
      </c>
      <c r="C77" s="6"/>
      <c r="D77" s="6"/>
      <c r="E77" s="6"/>
      <c r="F77" s="6"/>
      <c r="G77" s="6"/>
      <c r="H77" s="6"/>
      <c r="I77" s="6"/>
      <c r="J77" s="370">
        <f>'РСБУ отчетность'!E12</f>
        <v>173805</v>
      </c>
      <c r="K77" s="371"/>
      <c r="L77" s="370">
        <f>'РСБУ отчетность'!F12</f>
        <v>119413</v>
      </c>
      <c r="M77" s="377"/>
      <c r="N77" s="275" t="s">
        <v>102</v>
      </c>
      <c r="R77" s="13"/>
      <c r="S77" s="13"/>
      <c r="T77" s="13"/>
    </row>
    <row r="78" spans="2:20" ht="15.75" customHeight="1" x14ac:dyDescent="0.2">
      <c r="B78" s="97" t="str">
        <f>"Чистые активы (ЧА), "&amp;'МСФО отчетность'!C2&amp;" "&amp;'МСФО отчетность'!C3</f>
        <v>Чистые активы (ЧА), mln $</v>
      </c>
      <c r="C78" s="216"/>
      <c r="D78" s="216"/>
      <c r="E78" s="216"/>
      <c r="F78" s="216"/>
      <c r="G78" s="216"/>
      <c r="H78" s="216"/>
      <c r="I78" s="216"/>
      <c r="J78" s="375">
        <f>'РСБУ отчетность'!E76</f>
        <v>2211450</v>
      </c>
      <c r="K78" s="376"/>
      <c r="L78" s="375">
        <f>'РСБУ отчетность'!F76</f>
        <v>1899362</v>
      </c>
      <c r="M78" s="402"/>
      <c r="N78" s="275" t="s">
        <v>102</v>
      </c>
    </row>
    <row r="79" spans="2:20" ht="15.75" customHeight="1" x14ac:dyDescent="0.2">
      <c r="B79" s="289" t="s">
        <v>42</v>
      </c>
      <c r="C79" s="298"/>
      <c r="D79" s="298"/>
      <c r="E79" s="298"/>
      <c r="F79" s="298"/>
      <c r="G79" s="298"/>
      <c r="H79" s="216"/>
      <c r="I79" s="216"/>
      <c r="J79" s="368">
        <f>MIN(J77,J78)</f>
        <v>173805</v>
      </c>
      <c r="K79" s="369"/>
      <c r="L79" s="373">
        <f>MIN(L77,L78)</f>
        <v>119413</v>
      </c>
      <c r="M79" s="403"/>
      <c r="N79" s="275" t="s">
        <v>102</v>
      </c>
    </row>
    <row r="80" spans="2:20" ht="15.75" customHeight="1" x14ac:dyDescent="0.2">
      <c r="B80" s="95" t="str">
        <f>"Оборотные активы (ОА),  "&amp;'МСФО отчетность'!C2&amp;" "&amp;'МСФО отчетность'!C3</f>
        <v>Оборотные активы (ОА),  mln $</v>
      </c>
      <c r="J80" s="370">
        <f>'РСБУ отчетность'!E19</f>
        <v>2935952</v>
      </c>
      <c r="K80" s="371"/>
      <c r="L80" s="404">
        <f>'РСБУ отчетность'!F19</f>
        <v>2661200</v>
      </c>
      <c r="M80" s="405"/>
      <c r="N80" s="275" t="s">
        <v>102</v>
      </c>
    </row>
    <row r="81" spans="2:14" ht="15.75" customHeight="1" x14ac:dyDescent="0.2">
      <c r="B81" s="97" t="str">
        <f>"Краткосрочные обязательства (КО),  "&amp;'МСФО отчетность'!C2&amp;" "&amp;'МСФО отчетность'!C3</f>
        <v>Краткосрочные обязательства (КО),  mln $</v>
      </c>
      <c r="C81" s="216"/>
      <c r="D81" s="216"/>
      <c r="E81" s="216"/>
      <c r="F81" s="216"/>
      <c r="G81" s="216"/>
      <c r="H81" s="216"/>
      <c r="I81" s="217"/>
      <c r="J81" s="375">
        <f>'РСБУ отчетность'!E44</f>
        <v>920655</v>
      </c>
      <c r="K81" s="376"/>
      <c r="L81" s="375">
        <f>'РСБУ отчетность'!F44</f>
        <v>913174</v>
      </c>
      <c r="M81" s="402"/>
      <c r="N81" s="275" t="s">
        <v>102</v>
      </c>
    </row>
    <row r="82" spans="2:14" ht="15.75" customHeight="1" x14ac:dyDescent="0.2">
      <c r="B82" s="288" t="s">
        <v>43</v>
      </c>
      <c r="C82" s="121"/>
      <c r="D82" s="121"/>
      <c r="E82" s="121"/>
      <c r="F82" s="121"/>
      <c r="G82" s="121"/>
      <c r="H82" s="287"/>
      <c r="I82" s="299"/>
      <c r="J82" s="373">
        <f>J80-J81</f>
        <v>2015297</v>
      </c>
      <c r="K82" s="374"/>
      <c r="L82" s="373">
        <f>L80-L81</f>
        <v>1748026</v>
      </c>
      <c r="M82" s="403"/>
      <c r="N82" s="275" t="s">
        <v>102</v>
      </c>
    </row>
    <row r="83" spans="2:14" x14ac:dyDescent="0.2">
      <c r="B83" s="301" t="s">
        <v>304</v>
      </c>
      <c r="C83" s="287"/>
      <c r="D83" s="287"/>
      <c r="E83" s="287"/>
      <c r="F83" s="287"/>
      <c r="G83" s="287"/>
      <c r="H83" s="287"/>
      <c r="I83" s="299"/>
      <c r="J83" s="372">
        <f>MAX(J79,J82)</f>
        <v>2015297</v>
      </c>
      <c r="K83" s="372"/>
      <c r="L83" s="372">
        <f>MAX(L79,L82)</f>
        <v>1748026</v>
      </c>
      <c r="M83" s="378"/>
      <c r="N83" s="275" t="s">
        <v>102</v>
      </c>
    </row>
    <row r="84" spans="2:14" x14ac:dyDescent="0.2">
      <c r="B84" s="300" t="s">
        <v>303</v>
      </c>
      <c r="J84" s="372">
        <f>J79</f>
        <v>173805</v>
      </c>
      <c r="K84" s="372"/>
      <c r="L84" s="372">
        <f>L79</f>
        <v>119413</v>
      </c>
      <c r="M84" s="378"/>
      <c r="N84" s="275" t="s">
        <v>102</v>
      </c>
    </row>
    <row r="85" spans="2:14" ht="15" customHeight="1" x14ac:dyDescent="0.2">
      <c r="B85" s="288" t="s">
        <v>305</v>
      </c>
      <c r="C85" s="287"/>
      <c r="D85" s="287"/>
      <c r="E85" s="287"/>
      <c r="F85" s="287"/>
      <c r="G85" s="287"/>
      <c r="H85" s="287"/>
      <c r="I85" s="299"/>
      <c r="J85" s="360">
        <f>J55/100</f>
        <v>0.74</v>
      </c>
      <c r="K85" s="361"/>
      <c r="L85" s="360">
        <f>L55/100</f>
        <v>0.7</v>
      </c>
      <c r="M85" s="367"/>
      <c r="N85" s="275" t="s">
        <v>102</v>
      </c>
    </row>
    <row r="86" spans="2:14" ht="15" customHeight="1" x14ac:dyDescent="0.2">
      <c r="B86" s="288" t="s">
        <v>334</v>
      </c>
      <c r="C86" s="287"/>
      <c r="D86" s="287"/>
      <c r="E86" s="287"/>
      <c r="F86" s="287"/>
      <c r="G86" s="287"/>
      <c r="H86" s="287"/>
      <c r="I86" s="299"/>
      <c r="J86" s="360">
        <f>IF(J57=1,0.3,IF(J57=2,0.2,IF(J57=3,0.1,IF(J57=4,0,"ошибка"))))</f>
        <v>0.3</v>
      </c>
      <c r="K86" s="361"/>
      <c r="L86" s="360">
        <f>IF(L57=1,0.3,IF(L57=2,0.2,IF(L57=3,0.1,IF(L57=4,0,"ошибка"))))</f>
        <v>0.3</v>
      </c>
      <c r="M86" s="361"/>
      <c r="N86" s="275"/>
    </row>
    <row r="87" spans="2:14" ht="15" customHeight="1" x14ac:dyDescent="0.2">
      <c r="B87" s="288" t="s">
        <v>332</v>
      </c>
      <c r="C87" s="287"/>
      <c r="D87" s="287"/>
      <c r="E87" s="287"/>
      <c r="F87" s="287"/>
      <c r="G87" s="287"/>
      <c r="H87" s="287"/>
      <c r="I87" s="299"/>
      <c r="J87" s="360">
        <f>1+K66/100</f>
        <v>1</v>
      </c>
      <c r="K87" s="361"/>
      <c r="L87" s="400">
        <f>1+K66/100</f>
        <v>1</v>
      </c>
      <c r="M87" s="401"/>
      <c r="N87" s="275" t="s">
        <v>102</v>
      </c>
    </row>
    <row r="88" spans="2:14" ht="15" customHeight="1" x14ac:dyDescent="0.2">
      <c r="B88" s="288" t="s">
        <v>333</v>
      </c>
      <c r="J88" s="429">
        <f>L73/100</f>
        <v>0</v>
      </c>
      <c r="K88" s="430"/>
      <c r="L88" s="431">
        <f>L73/100</f>
        <v>0</v>
      </c>
      <c r="M88" s="432"/>
      <c r="N88" s="275" t="s">
        <v>102</v>
      </c>
    </row>
    <row r="89" spans="2:14" s="51" customFormat="1" ht="19.5" customHeight="1" x14ac:dyDescent="0.25">
      <c r="B89" s="306" t="str">
        <f>"Кредитный лимит контрагента,  "&amp;'МСФО отчетность'!C2&amp;" "&amp;'МСФО отчетность'!C3</f>
        <v>Кредитный лимит контрагента,  mln $</v>
      </c>
      <c r="C89" s="303"/>
      <c r="D89" s="303"/>
      <c r="E89" s="303"/>
      <c r="F89" s="303"/>
      <c r="G89" s="303"/>
      <c r="H89" s="304"/>
      <c r="I89" s="305"/>
      <c r="J89" s="395">
        <f>IF(IF(J83&gt;0,J83*J85*J87*(1-J88),0)&lt;0,0,IF(J83&gt;0,J83*J85*J87*(1-J88),0))</f>
        <v>1491319.78</v>
      </c>
      <c r="K89" s="395"/>
      <c r="L89" s="395">
        <f>IF(IF(L83&gt;0,L83*L85*L87*(1-L88),0)&lt;0,0,IF(L83&gt;0,L83*L85*L87*(1-L88),0))</f>
        <v>1223618.2</v>
      </c>
      <c r="M89" s="395"/>
      <c r="N89" s="275" t="s">
        <v>102</v>
      </c>
    </row>
    <row r="90" spans="2:14" s="51" customFormat="1" ht="19.5" customHeight="1" x14ac:dyDescent="0.25">
      <c r="B90" s="307" t="str">
        <f>"Лимит авансового платежа,  "&amp;'МСФО отчетность'!C2&amp;" "&amp;'МСФО отчетность'!C3</f>
        <v>Лимит авансового платежа,  mln $</v>
      </c>
      <c r="C90" s="303"/>
      <c r="D90" s="303"/>
      <c r="E90" s="303"/>
      <c r="F90" s="303"/>
      <c r="G90" s="303"/>
      <c r="H90" s="304"/>
      <c r="I90" s="305"/>
      <c r="J90" s="395">
        <f>IF(J84*J86*J87*(1-J88)&lt;0,0,IF(J84&gt;0,J84*J86*J87*(1-J88),0))</f>
        <v>52141.5</v>
      </c>
      <c r="K90" s="395"/>
      <c r="L90" s="433">
        <f>IF(L84*L86*L87*(1-L88)&lt;0,0,IF(L84&gt;0,L84*L86*L87*(1-L88),0))</f>
        <v>35823.9</v>
      </c>
      <c r="M90" s="434"/>
      <c r="N90" s="275" t="s">
        <v>102</v>
      </c>
    </row>
    <row r="91" spans="2:14" ht="9.75" customHeight="1" x14ac:dyDescent="0.2">
      <c r="N91" s="275"/>
    </row>
    <row r="92" spans="2:14" ht="15.75" x14ac:dyDescent="0.25">
      <c r="B92" s="114" t="s">
        <v>107</v>
      </c>
      <c r="C92" s="115"/>
      <c r="D92" s="115"/>
      <c r="E92" s="290"/>
      <c r="F92" s="290"/>
      <c r="G92" s="290"/>
      <c r="H92" s="290"/>
      <c r="I92" s="290"/>
      <c r="J92" s="116"/>
      <c r="K92" s="116"/>
      <c r="L92" s="116"/>
      <c r="M92" s="116"/>
      <c r="N92" s="275" t="s">
        <v>125</v>
      </c>
    </row>
  </sheetData>
  <mergeCells count="60">
    <mergeCell ref="J88:K88"/>
    <mergeCell ref="L88:M88"/>
    <mergeCell ref="J89:K89"/>
    <mergeCell ref="L89:M89"/>
    <mergeCell ref="J90:K90"/>
    <mergeCell ref="L90:M90"/>
    <mergeCell ref="J84:K84"/>
    <mergeCell ref="L84:M84"/>
    <mergeCell ref="J85:K85"/>
    <mergeCell ref="L85:M85"/>
    <mergeCell ref="J87:K87"/>
    <mergeCell ref="L87:M87"/>
    <mergeCell ref="J86:K86"/>
    <mergeCell ref="L86:M86"/>
    <mergeCell ref="J81:K81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77:K77"/>
    <mergeCell ref="L77:M77"/>
    <mergeCell ref="J58:K58"/>
    <mergeCell ref="L58:M58"/>
    <mergeCell ref="H59:I59"/>
    <mergeCell ref="J59:K59"/>
    <mergeCell ref="L59:M59"/>
    <mergeCell ref="J70:K70"/>
    <mergeCell ref="L70:M70"/>
    <mergeCell ref="J71:K71"/>
    <mergeCell ref="L71:M71"/>
    <mergeCell ref="J72:K72"/>
    <mergeCell ref="L72:M72"/>
    <mergeCell ref="L73:M73"/>
    <mergeCell ref="L65:M65"/>
    <mergeCell ref="J22:K22"/>
    <mergeCell ref="L22:M22"/>
    <mergeCell ref="L49:M49"/>
    <mergeCell ref="L50:M50"/>
    <mergeCell ref="J57:K57"/>
    <mergeCell ref="L57:M57"/>
    <mergeCell ref="H15:I15"/>
    <mergeCell ref="H16:I16"/>
    <mergeCell ref="H17:I17"/>
    <mergeCell ref="L17:M17"/>
    <mergeCell ref="H18:I18"/>
    <mergeCell ref="L18:M18"/>
    <mergeCell ref="H14:I14"/>
    <mergeCell ref="L14:M14"/>
    <mergeCell ref="H7:M7"/>
    <mergeCell ref="H8:I8"/>
    <mergeCell ref="H9:M9"/>
    <mergeCell ref="H10:I10"/>
    <mergeCell ref="H11:M11"/>
  </mergeCells>
  <conditionalFormatting sqref="K24 M24 K27 M27 K29 M29">
    <cfRule type="colorScale" priority="29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M74 M51:M53">
    <cfRule type="containsText" dxfId="1" priority="27" operator="containsText" text="Выявлен риск вывода активов">
      <formula>NOT(ISERROR(SEARCH("Выявлен риск вывода активов",M51)))</formula>
    </cfRule>
    <cfRule type="containsText" dxfId="0" priority="28" operator="containsText" text="Не выявлены">
      <formula>NOT(ISERROR(SEARCH("Не выявлены",M51)))</formula>
    </cfRule>
  </conditionalFormatting>
  <conditionalFormatting sqref="K25:K26 K28 K30:K31 M25:M26 M28 M30:M31">
    <cfRule type="colorScale" priority="23">
      <colorScale>
        <cfvo type="num" val="0"/>
        <cfvo type="num" val="2.5"/>
        <cfvo type="num" val="5"/>
        <color rgb="FFFF9999"/>
        <color rgb="FFFFEB84"/>
        <color rgb="FF92D050"/>
      </colorScale>
    </cfRule>
  </conditionalFormatting>
  <conditionalFormatting sqref="M41 K41">
    <cfRule type="colorScale" priority="22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50">
    <cfRule type="colorScale" priority="21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M42 K42">
    <cfRule type="colorScale" priority="19">
      <colorScale>
        <cfvo type="num" val="0"/>
        <cfvo type="percentile" val="50"/>
        <cfvo type="num" val="20"/>
        <color rgb="FFFF9999"/>
        <color rgb="FFFFEB84"/>
        <color rgb="FF92D050"/>
      </colorScale>
    </cfRule>
  </conditionalFormatting>
  <conditionalFormatting sqref="J17">
    <cfRule type="iconSet" priority="18">
      <iconSet iconSet="3Arrows">
        <cfvo type="percent" val="0"/>
        <cfvo type="num" val="$K$17"/>
        <cfvo type="num" val="$K$17" gte="0"/>
      </iconSet>
    </cfRule>
  </conditionalFormatting>
  <conditionalFormatting sqref="M35 K35">
    <cfRule type="colorScale" priority="17">
      <colorScale>
        <cfvo type="num" val="0"/>
        <cfvo type="percentile" val="50"/>
        <cfvo type="num" val="50"/>
        <color rgb="FFFF9999"/>
        <color rgb="FFFFEB84"/>
        <color rgb="FF92D050"/>
      </colorScale>
    </cfRule>
  </conditionalFormatting>
  <conditionalFormatting sqref="M43 K43">
    <cfRule type="colorScale" priority="16">
      <colorScale>
        <cfvo type="num" val="0"/>
        <cfvo type="percentile" val="50"/>
        <cfvo type="num" val="30"/>
        <color rgb="FFFF9999"/>
        <color rgb="FFFFEB84"/>
        <color rgb="FF92D050"/>
      </colorScale>
    </cfRule>
  </conditionalFormatting>
  <conditionalFormatting sqref="K51">
    <cfRule type="colorScale" priority="15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26">
    <cfRule type="colorScale" priority="14">
      <colorScale>
        <cfvo type="num" val="0"/>
        <cfvo type="percentile" val="50"/>
        <cfvo type="num" val="5"/>
        <color rgb="FFFF9999"/>
        <color rgb="FFFFEB84"/>
        <color rgb="FF92D050"/>
      </colorScale>
    </cfRule>
  </conditionalFormatting>
  <conditionalFormatting sqref="K27">
    <cfRule type="colorScale" priority="13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28">
    <cfRule type="colorScale" priority="12">
      <colorScale>
        <cfvo type="num" val="0"/>
        <cfvo type="percentile" val="50"/>
        <cfvo type="num" val="10"/>
        <color rgb="FFFF9999"/>
        <color rgb="FFFFEB84"/>
        <color rgb="FF92D050"/>
      </colorScale>
    </cfRule>
  </conditionalFormatting>
  <conditionalFormatting sqref="K33:K34 M33:M34">
    <cfRule type="colorScale" priority="11">
      <colorScale>
        <cfvo type="num" val="-3"/>
        <cfvo type="num" val="0"/>
        <cfvo type="num" val="3"/>
        <color rgb="FFFF9999"/>
        <color rgb="FFFFEB84"/>
        <color rgb="FF92D050"/>
      </colorScale>
    </cfRule>
  </conditionalFormatting>
  <conditionalFormatting sqref="K64">
    <cfRule type="colorScale" priority="10">
      <colorScale>
        <cfvo type="num" val="-10"/>
        <cfvo type="num" val="0"/>
        <cfvo type="num" val="10"/>
        <color rgb="FFFF9999"/>
        <color rgb="FFFFEB84"/>
        <color rgb="FF92D050"/>
      </colorScale>
    </cfRule>
  </conditionalFormatting>
  <conditionalFormatting sqref="K66">
    <cfRule type="colorScale" priority="8">
      <colorScale>
        <cfvo type="num" val="-34"/>
        <cfvo type="num" val="0"/>
        <cfvo type="num" val="10"/>
        <color rgb="FFFF9999"/>
        <color rgb="FFFFEB84"/>
        <color rgb="FF92D050"/>
      </colorScale>
    </cfRule>
  </conditionalFormatting>
  <conditionalFormatting sqref="K32">
    <cfRule type="colorScale" priority="7">
      <colorScale>
        <cfvo type="num" val="0"/>
        <cfvo type="num" val="2"/>
        <cfvo type="num" val="4"/>
        <color rgb="FFFF9999"/>
        <color rgb="FFFFEB84"/>
        <color rgb="FF63BE7B"/>
      </colorScale>
    </cfRule>
  </conditionalFormatting>
  <conditionalFormatting sqref="J18">
    <cfRule type="iconSet" priority="6">
      <iconSet iconSet="3Arrows">
        <cfvo type="percent" val="0"/>
        <cfvo type="num" val="$L$18"/>
        <cfvo type="num" val="$L$18" gte="0"/>
      </iconSet>
    </cfRule>
  </conditionalFormatting>
  <conditionalFormatting sqref="K73">
    <cfRule type="colorScale" priority="5">
      <colorScale>
        <cfvo type="num" val="0"/>
        <cfvo type="percentile" val="50"/>
        <cfvo type="num" val="0.7"/>
        <color rgb="FF92D050"/>
        <color rgb="FFFFEB84"/>
        <color rgb="FFFFCCCC"/>
      </colorScale>
    </cfRule>
  </conditionalFormatting>
  <conditionalFormatting sqref="M32">
    <cfRule type="colorScale" priority="4">
      <colorScale>
        <cfvo type="num" val="0"/>
        <cfvo type="num" val="2"/>
        <cfvo type="num" val="4"/>
        <color rgb="FFFF9999"/>
        <color rgb="FFFFEB84"/>
        <color rgb="FF92D050"/>
      </colorScale>
    </cfRule>
  </conditionalFormatting>
  <conditionalFormatting sqref="L73">
    <cfRule type="colorScale" priority="3">
      <colorScale>
        <cfvo type="num" val="0"/>
        <cfvo type="num" val="0.3"/>
        <cfvo type="num" val="0.7"/>
        <color rgb="FF92D050"/>
        <color rgb="FFFFEB84"/>
        <color rgb="FFFFCCCC"/>
      </colorScale>
    </cfRule>
  </conditionalFormatting>
  <conditionalFormatting sqref="J16">
    <cfRule type="iconSet" priority="155">
      <iconSet iconSet="3Arrows">
        <cfvo type="percent" val="0"/>
        <cfvo type="num" val="$L$55"/>
        <cfvo type="num" val="$L$55" gte="0"/>
      </iconSet>
    </cfRule>
  </conditionalFormatting>
  <conditionalFormatting sqref="K65">
    <cfRule type="colorScale" priority="1">
      <colorScale>
        <cfvo type="num" val="-10"/>
        <cfvo type="num" val="0"/>
        <cfvo type="num" val="10"/>
        <color rgb="FFFF9999"/>
        <color rgb="FFFFEB84"/>
        <color rgb="FF92D050"/>
      </colorScale>
    </cfRule>
  </conditionalFormatting>
  <dataValidations count="1">
    <dataValidation allowBlank="1" showErrorMessage="1" sqref="J50 L51:M53 I56:M56 J52:K53 J74:M74"/>
  </dataValidations>
  <printOptions horizontalCentered="1"/>
  <pageMargins left="0" right="0" top="0.59055118110236227" bottom="0.39370078740157483" header="0.31496062992125984" footer="0.31496062992125984"/>
  <pageSetup paperSize="9" scale="61" orientation="portrait" r:id="rId1"/>
  <headerFooter>
    <oddHeader>&amp;CШ-13.08.01-01 Оценка кредитоспособности контрагента</oddHeader>
    <oddFooter>&amp;CШ-13.08.01-01 версия 1.0 Оценка кредитоспособности контрагента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6" id="{FEDAC57B-39B5-47FE-9B88-D1B18F2889F9}">
            <x14:iconSet iconSet="3Arrows" custom="1">
              <x14:cfvo type="percent">
                <xm:f>0</xm:f>
              </x14:cfvo>
              <x14:cfvo type="num">
                <xm:f>$L$57</xm:f>
              </x14:cfvo>
              <x14:cfvo type="num" gte="0">
                <xm:f>$L$57</xm:f>
              </x14:cfvo>
              <x14:cfIcon iconSet="3Arrows" iconId="2"/>
              <x14:cfIcon iconSet="3Arrows" iconId="1"/>
              <x14:cfIcon iconSet="3Arrows" iconId="0"/>
            </x14:iconSet>
          </x14:cfRule>
          <xm:sqref>J15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>
        <x14:dataValidation type="list">
          <x14:formula1>
            <xm:f>Подложка!$K$3:$K$6</xm:f>
          </x14:formula1>
          <xm:sqref>L41 J41</xm:sqref>
        </x14:dataValidation>
        <x14:dataValidation type="list">
          <x14:formula1>
            <xm:f>Подложка!$M$3:$M$9</xm:f>
          </x14:formula1>
          <xm:sqref>L42 J42</xm:sqref>
        </x14:dataValidation>
        <x14:dataValidation type="list" allowBlank="1" showInputMessage="1" showErrorMessage="1">
          <x14:formula1>
            <xm:f>Подложка!$G$3:$G$5</xm:f>
          </x14:formula1>
          <xm:sqref>K68 H68:I68 L66:M69 J58:J60 H59:I62 K59:K62 L58:L62 M59:M62</xm:sqref>
        </x14:dataValidation>
        <x14:dataValidation type="list" allowBlank="1" showInputMessage="1" showErrorMessage="1">
          <x14:formula1>
            <xm:f>Подложка!$I$3:$I$6</xm:f>
          </x14:formula1>
          <xm:sqref>H11</xm:sqref>
        </x14:dataValidation>
        <x14:dataValidation type="list" allowBlank="1" showInputMessage="1" showErrorMessage="1">
          <x14:formula1>
            <xm:f>Подложка!$Q$3:$Q$7</xm:f>
          </x14:formula1>
          <xm:sqref>J71</xm:sqref>
        </x14:dataValidation>
        <x14:dataValidation type="list" allowBlank="1" showInputMessage="1" showErrorMessage="1">
          <x14:formula1>
            <xm:f>Подложка!$S$3:$S$5</xm:f>
          </x14:formula1>
          <xm:sqref>J72</xm:sqref>
        </x14:dataValidation>
        <x14:dataValidation type="list" allowBlank="1" showInputMessage="1" showErrorMessage="1">
          <x14:formula1>
            <xm:f>Подложка!$X$3:$X$28</xm:f>
          </x14:formula1>
          <xm:sqref>J64:J65</xm:sqref>
        </x14:dataValidation>
        <x14:dataValidation type="list" allowBlank="1" showInputMessage="1" showErrorMessage="1">
          <x14:formula1>
            <xm:f>Подложка!$O$3:$O$11</xm:f>
          </x14:formula1>
          <xm:sqref>H10:I10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79998168889431442"/>
  </sheetPr>
  <dimension ref="A1:O74"/>
  <sheetViews>
    <sheetView view="pageBreakPreview" topLeftCell="A46" zoomScale="90" zoomScaleNormal="100" zoomScaleSheetLayoutView="90" workbookViewId="0">
      <selection activeCell="J53" sqref="J53"/>
    </sheetView>
  </sheetViews>
  <sheetFormatPr defaultRowHeight="14.25" x14ac:dyDescent="0.2"/>
  <cols>
    <col min="1" max="2" width="12.42578125" style="8" customWidth="1"/>
    <col min="3" max="3" width="15.28515625" style="8" customWidth="1"/>
    <col min="4" max="4" width="15.140625" style="8" customWidth="1"/>
    <col min="5" max="5" width="24.85546875" style="8" customWidth="1"/>
    <col min="6" max="6" width="25" style="8" customWidth="1"/>
    <col min="7" max="7" width="28.7109375" style="8" customWidth="1"/>
    <col min="8" max="8" width="11.5703125" style="8" customWidth="1"/>
    <col min="9" max="9" width="12.5703125" style="8" customWidth="1"/>
    <col min="10" max="10" width="11.7109375" style="8" customWidth="1"/>
    <col min="11" max="11" width="10.28515625" style="8" customWidth="1"/>
    <col min="12" max="12" width="14.85546875" style="8" customWidth="1"/>
    <col min="13" max="13" width="13.28515625" style="8" customWidth="1"/>
    <col min="14" max="14" width="12.5703125" style="8" customWidth="1"/>
    <col min="15" max="15" width="14.85546875" style="8" customWidth="1"/>
    <col min="16" max="254" width="9.140625" style="8"/>
    <col min="255" max="255" width="12.140625" style="8" customWidth="1"/>
    <col min="256" max="256" width="14.42578125" style="8" customWidth="1"/>
    <col min="257" max="257" width="16.7109375" style="8" customWidth="1"/>
    <col min="258" max="258" width="14.28515625" style="8" customWidth="1"/>
    <col min="259" max="259" width="16.140625" style="8" customWidth="1"/>
    <col min="260" max="260" width="11.7109375" style="8" customWidth="1"/>
    <col min="261" max="261" width="12.28515625" style="8" customWidth="1"/>
    <col min="262" max="262" width="13.28515625" style="8" customWidth="1"/>
    <col min="263" max="263" width="11.42578125" style="8" customWidth="1"/>
    <col min="264" max="264" width="76.85546875" style="8" customWidth="1"/>
    <col min="265" max="265" width="12.5703125" style="8" customWidth="1"/>
    <col min="266" max="266" width="11.7109375" style="8" customWidth="1"/>
    <col min="267" max="267" width="10.28515625" style="8" customWidth="1"/>
    <col min="268" max="268" width="14.85546875" style="8" customWidth="1"/>
    <col min="269" max="269" width="13.28515625" style="8" customWidth="1"/>
    <col min="270" max="270" width="12.5703125" style="8" customWidth="1"/>
    <col min="271" max="271" width="14.85546875" style="8" customWidth="1"/>
    <col min="272" max="510" width="9.140625" style="8"/>
    <col min="511" max="511" width="12.140625" style="8" customWidth="1"/>
    <col min="512" max="512" width="14.42578125" style="8" customWidth="1"/>
    <col min="513" max="513" width="16.7109375" style="8" customWidth="1"/>
    <col min="514" max="514" width="14.28515625" style="8" customWidth="1"/>
    <col min="515" max="515" width="16.140625" style="8" customWidth="1"/>
    <col min="516" max="516" width="11.7109375" style="8" customWidth="1"/>
    <col min="517" max="517" width="12.28515625" style="8" customWidth="1"/>
    <col min="518" max="518" width="13.28515625" style="8" customWidth="1"/>
    <col min="519" max="519" width="11.42578125" style="8" customWidth="1"/>
    <col min="520" max="520" width="76.85546875" style="8" customWidth="1"/>
    <col min="521" max="521" width="12.5703125" style="8" customWidth="1"/>
    <col min="522" max="522" width="11.7109375" style="8" customWidth="1"/>
    <col min="523" max="523" width="10.28515625" style="8" customWidth="1"/>
    <col min="524" max="524" width="14.85546875" style="8" customWidth="1"/>
    <col min="525" max="525" width="13.28515625" style="8" customWidth="1"/>
    <col min="526" max="526" width="12.5703125" style="8" customWidth="1"/>
    <col min="527" max="527" width="14.85546875" style="8" customWidth="1"/>
    <col min="528" max="766" width="9.140625" style="8"/>
    <col min="767" max="767" width="12.140625" style="8" customWidth="1"/>
    <col min="768" max="768" width="14.42578125" style="8" customWidth="1"/>
    <col min="769" max="769" width="16.7109375" style="8" customWidth="1"/>
    <col min="770" max="770" width="14.28515625" style="8" customWidth="1"/>
    <col min="771" max="771" width="16.140625" style="8" customWidth="1"/>
    <col min="772" max="772" width="11.7109375" style="8" customWidth="1"/>
    <col min="773" max="773" width="12.28515625" style="8" customWidth="1"/>
    <col min="774" max="774" width="13.28515625" style="8" customWidth="1"/>
    <col min="775" max="775" width="11.42578125" style="8" customWidth="1"/>
    <col min="776" max="776" width="76.85546875" style="8" customWidth="1"/>
    <col min="777" max="777" width="12.5703125" style="8" customWidth="1"/>
    <col min="778" max="778" width="11.7109375" style="8" customWidth="1"/>
    <col min="779" max="779" width="10.28515625" style="8" customWidth="1"/>
    <col min="780" max="780" width="14.85546875" style="8" customWidth="1"/>
    <col min="781" max="781" width="13.28515625" style="8" customWidth="1"/>
    <col min="782" max="782" width="12.5703125" style="8" customWidth="1"/>
    <col min="783" max="783" width="14.85546875" style="8" customWidth="1"/>
    <col min="784" max="1022" width="9.140625" style="8"/>
    <col min="1023" max="1023" width="12.140625" style="8" customWidth="1"/>
    <col min="1024" max="1024" width="14.42578125" style="8" customWidth="1"/>
    <col min="1025" max="1025" width="16.7109375" style="8" customWidth="1"/>
    <col min="1026" max="1026" width="14.28515625" style="8" customWidth="1"/>
    <col min="1027" max="1027" width="16.140625" style="8" customWidth="1"/>
    <col min="1028" max="1028" width="11.7109375" style="8" customWidth="1"/>
    <col min="1029" max="1029" width="12.28515625" style="8" customWidth="1"/>
    <col min="1030" max="1030" width="13.28515625" style="8" customWidth="1"/>
    <col min="1031" max="1031" width="11.42578125" style="8" customWidth="1"/>
    <col min="1032" max="1032" width="76.85546875" style="8" customWidth="1"/>
    <col min="1033" max="1033" width="12.5703125" style="8" customWidth="1"/>
    <col min="1034" max="1034" width="11.7109375" style="8" customWidth="1"/>
    <col min="1035" max="1035" width="10.28515625" style="8" customWidth="1"/>
    <col min="1036" max="1036" width="14.85546875" style="8" customWidth="1"/>
    <col min="1037" max="1037" width="13.28515625" style="8" customWidth="1"/>
    <col min="1038" max="1038" width="12.5703125" style="8" customWidth="1"/>
    <col min="1039" max="1039" width="14.85546875" style="8" customWidth="1"/>
    <col min="1040" max="1278" width="9.140625" style="8"/>
    <col min="1279" max="1279" width="12.140625" style="8" customWidth="1"/>
    <col min="1280" max="1280" width="14.42578125" style="8" customWidth="1"/>
    <col min="1281" max="1281" width="16.7109375" style="8" customWidth="1"/>
    <col min="1282" max="1282" width="14.28515625" style="8" customWidth="1"/>
    <col min="1283" max="1283" width="16.140625" style="8" customWidth="1"/>
    <col min="1284" max="1284" width="11.7109375" style="8" customWidth="1"/>
    <col min="1285" max="1285" width="12.28515625" style="8" customWidth="1"/>
    <col min="1286" max="1286" width="13.28515625" style="8" customWidth="1"/>
    <col min="1287" max="1287" width="11.42578125" style="8" customWidth="1"/>
    <col min="1288" max="1288" width="76.85546875" style="8" customWidth="1"/>
    <col min="1289" max="1289" width="12.5703125" style="8" customWidth="1"/>
    <col min="1290" max="1290" width="11.7109375" style="8" customWidth="1"/>
    <col min="1291" max="1291" width="10.28515625" style="8" customWidth="1"/>
    <col min="1292" max="1292" width="14.85546875" style="8" customWidth="1"/>
    <col min="1293" max="1293" width="13.28515625" style="8" customWidth="1"/>
    <col min="1294" max="1294" width="12.5703125" style="8" customWidth="1"/>
    <col min="1295" max="1295" width="14.85546875" style="8" customWidth="1"/>
    <col min="1296" max="1534" width="9.140625" style="8"/>
    <col min="1535" max="1535" width="12.140625" style="8" customWidth="1"/>
    <col min="1536" max="1536" width="14.42578125" style="8" customWidth="1"/>
    <col min="1537" max="1537" width="16.7109375" style="8" customWidth="1"/>
    <col min="1538" max="1538" width="14.28515625" style="8" customWidth="1"/>
    <col min="1539" max="1539" width="16.140625" style="8" customWidth="1"/>
    <col min="1540" max="1540" width="11.7109375" style="8" customWidth="1"/>
    <col min="1541" max="1541" width="12.28515625" style="8" customWidth="1"/>
    <col min="1542" max="1542" width="13.28515625" style="8" customWidth="1"/>
    <col min="1543" max="1543" width="11.42578125" style="8" customWidth="1"/>
    <col min="1544" max="1544" width="76.85546875" style="8" customWidth="1"/>
    <col min="1545" max="1545" width="12.5703125" style="8" customWidth="1"/>
    <col min="1546" max="1546" width="11.7109375" style="8" customWidth="1"/>
    <col min="1547" max="1547" width="10.28515625" style="8" customWidth="1"/>
    <col min="1548" max="1548" width="14.85546875" style="8" customWidth="1"/>
    <col min="1549" max="1549" width="13.28515625" style="8" customWidth="1"/>
    <col min="1550" max="1550" width="12.5703125" style="8" customWidth="1"/>
    <col min="1551" max="1551" width="14.85546875" style="8" customWidth="1"/>
    <col min="1552" max="1790" width="9.140625" style="8"/>
    <col min="1791" max="1791" width="12.140625" style="8" customWidth="1"/>
    <col min="1792" max="1792" width="14.42578125" style="8" customWidth="1"/>
    <col min="1793" max="1793" width="16.7109375" style="8" customWidth="1"/>
    <col min="1794" max="1794" width="14.28515625" style="8" customWidth="1"/>
    <col min="1795" max="1795" width="16.140625" style="8" customWidth="1"/>
    <col min="1796" max="1796" width="11.7109375" style="8" customWidth="1"/>
    <col min="1797" max="1797" width="12.28515625" style="8" customWidth="1"/>
    <col min="1798" max="1798" width="13.28515625" style="8" customWidth="1"/>
    <col min="1799" max="1799" width="11.42578125" style="8" customWidth="1"/>
    <col min="1800" max="1800" width="76.85546875" style="8" customWidth="1"/>
    <col min="1801" max="1801" width="12.5703125" style="8" customWidth="1"/>
    <col min="1802" max="1802" width="11.7109375" style="8" customWidth="1"/>
    <col min="1803" max="1803" width="10.28515625" style="8" customWidth="1"/>
    <col min="1804" max="1804" width="14.85546875" style="8" customWidth="1"/>
    <col min="1805" max="1805" width="13.28515625" style="8" customWidth="1"/>
    <col min="1806" max="1806" width="12.5703125" style="8" customWidth="1"/>
    <col min="1807" max="1807" width="14.85546875" style="8" customWidth="1"/>
    <col min="1808" max="2046" width="9.140625" style="8"/>
    <col min="2047" max="2047" width="12.140625" style="8" customWidth="1"/>
    <col min="2048" max="2048" width="14.42578125" style="8" customWidth="1"/>
    <col min="2049" max="2049" width="16.7109375" style="8" customWidth="1"/>
    <col min="2050" max="2050" width="14.28515625" style="8" customWidth="1"/>
    <col min="2051" max="2051" width="16.140625" style="8" customWidth="1"/>
    <col min="2052" max="2052" width="11.7109375" style="8" customWidth="1"/>
    <col min="2053" max="2053" width="12.28515625" style="8" customWidth="1"/>
    <col min="2054" max="2054" width="13.28515625" style="8" customWidth="1"/>
    <col min="2055" max="2055" width="11.42578125" style="8" customWidth="1"/>
    <col min="2056" max="2056" width="76.85546875" style="8" customWidth="1"/>
    <col min="2057" max="2057" width="12.5703125" style="8" customWidth="1"/>
    <col min="2058" max="2058" width="11.7109375" style="8" customWidth="1"/>
    <col min="2059" max="2059" width="10.28515625" style="8" customWidth="1"/>
    <col min="2060" max="2060" width="14.85546875" style="8" customWidth="1"/>
    <col min="2061" max="2061" width="13.28515625" style="8" customWidth="1"/>
    <col min="2062" max="2062" width="12.5703125" style="8" customWidth="1"/>
    <col min="2063" max="2063" width="14.85546875" style="8" customWidth="1"/>
    <col min="2064" max="2302" width="9.140625" style="8"/>
    <col min="2303" max="2303" width="12.140625" style="8" customWidth="1"/>
    <col min="2304" max="2304" width="14.42578125" style="8" customWidth="1"/>
    <col min="2305" max="2305" width="16.7109375" style="8" customWidth="1"/>
    <col min="2306" max="2306" width="14.28515625" style="8" customWidth="1"/>
    <col min="2307" max="2307" width="16.140625" style="8" customWidth="1"/>
    <col min="2308" max="2308" width="11.7109375" style="8" customWidth="1"/>
    <col min="2309" max="2309" width="12.28515625" style="8" customWidth="1"/>
    <col min="2310" max="2310" width="13.28515625" style="8" customWidth="1"/>
    <col min="2311" max="2311" width="11.42578125" style="8" customWidth="1"/>
    <col min="2312" max="2312" width="76.85546875" style="8" customWidth="1"/>
    <col min="2313" max="2313" width="12.5703125" style="8" customWidth="1"/>
    <col min="2314" max="2314" width="11.7109375" style="8" customWidth="1"/>
    <col min="2315" max="2315" width="10.28515625" style="8" customWidth="1"/>
    <col min="2316" max="2316" width="14.85546875" style="8" customWidth="1"/>
    <col min="2317" max="2317" width="13.28515625" style="8" customWidth="1"/>
    <col min="2318" max="2318" width="12.5703125" style="8" customWidth="1"/>
    <col min="2319" max="2319" width="14.85546875" style="8" customWidth="1"/>
    <col min="2320" max="2558" width="9.140625" style="8"/>
    <col min="2559" max="2559" width="12.140625" style="8" customWidth="1"/>
    <col min="2560" max="2560" width="14.42578125" style="8" customWidth="1"/>
    <col min="2561" max="2561" width="16.7109375" style="8" customWidth="1"/>
    <col min="2562" max="2562" width="14.28515625" style="8" customWidth="1"/>
    <col min="2563" max="2563" width="16.140625" style="8" customWidth="1"/>
    <col min="2564" max="2564" width="11.7109375" style="8" customWidth="1"/>
    <col min="2565" max="2565" width="12.28515625" style="8" customWidth="1"/>
    <col min="2566" max="2566" width="13.28515625" style="8" customWidth="1"/>
    <col min="2567" max="2567" width="11.42578125" style="8" customWidth="1"/>
    <col min="2568" max="2568" width="76.85546875" style="8" customWidth="1"/>
    <col min="2569" max="2569" width="12.5703125" style="8" customWidth="1"/>
    <col min="2570" max="2570" width="11.7109375" style="8" customWidth="1"/>
    <col min="2571" max="2571" width="10.28515625" style="8" customWidth="1"/>
    <col min="2572" max="2572" width="14.85546875" style="8" customWidth="1"/>
    <col min="2573" max="2573" width="13.28515625" style="8" customWidth="1"/>
    <col min="2574" max="2574" width="12.5703125" style="8" customWidth="1"/>
    <col min="2575" max="2575" width="14.85546875" style="8" customWidth="1"/>
    <col min="2576" max="2814" width="9.140625" style="8"/>
    <col min="2815" max="2815" width="12.140625" style="8" customWidth="1"/>
    <col min="2816" max="2816" width="14.42578125" style="8" customWidth="1"/>
    <col min="2817" max="2817" width="16.7109375" style="8" customWidth="1"/>
    <col min="2818" max="2818" width="14.28515625" style="8" customWidth="1"/>
    <col min="2819" max="2819" width="16.140625" style="8" customWidth="1"/>
    <col min="2820" max="2820" width="11.7109375" style="8" customWidth="1"/>
    <col min="2821" max="2821" width="12.28515625" style="8" customWidth="1"/>
    <col min="2822" max="2822" width="13.28515625" style="8" customWidth="1"/>
    <col min="2823" max="2823" width="11.42578125" style="8" customWidth="1"/>
    <col min="2824" max="2824" width="76.85546875" style="8" customWidth="1"/>
    <col min="2825" max="2825" width="12.5703125" style="8" customWidth="1"/>
    <col min="2826" max="2826" width="11.7109375" style="8" customWidth="1"/>
    <col min="2827" max="2827" width="10.28515625" style="8" customWidth="1"/>
    <col min="2828" max="2828" width="14.85546875" style="8" customWidth="1"/>
    <col min="2829" max="2829" width="13.28515625" style="8" customWidth="1"/>
    <col min="2830" max="2830" width="12.5703125" style="8" customWidth="1"/>
    <col min="2831" max="2831" width="14.85546875" style="8" customWidth="1"/>
    <col min="2832" max="3070" width="9.140625" style="8"/>
    <col min="3071" max="3071" width="12.140625" style="8" customWidth="1"/>
    <col min="3072" max="3072" width="14.42578125" style="8" customWidth="1"/>
    <col min="3073" max="3073" width="16.7109375" style="8" customWidth="1"/>
    <col min="3074" max="3074" width="14.28515625" style="8" customWidth="1"/>
    <col min="3075" max="3075" width="16.140625" style="8" customWidth="1"/>
    <col min="3076" max="3076" width="11.7109375" style="8" customWidth="1"/>
    <col min="3077" max="3077" width="12.28515625" style="8" customWidth="1"/>
    <col min="3078" max="3078" width="13.28515625" style="8" customWidth="1"/>
    <col min="3079" max="3079" width="11.42578125" style="8" customWidth="1"/>
    <col min="3080" max="3080" width="76.85546875" style="8" customWidth="1"/>
    <col min="3081" max="3081" width="12.5703125" style="8" customWidth="1"/>
    <col min="3082" max="3082" width="11.7109375" style="8" customWidth="1"/>
    <col min="3083" max="3083" width="10.28515625" style="8" customWidth="1"/>
    <col min="3084" max="3084" width="14.85546875" style="8" customWidth="1"/>
    <col min="3085" max="3085" width="13.28515625" style="8" customWidth="1"/>
    <col min="3086" max="3086" width="12.5703125" style="8" customWidth="1"/>
    <col min="3087" max="3087" width="14.85546875" style="8" customWidth="1"/>
    <col min="3088" max="3326" width="9.140625" style="8"/>
    <col min="3327" max="3327" width="12.140625" style="8" customWidth="1"/>
    <col min="3328" max="3328" width="14.42578125" style="8" customWidth="1"/>
    <col min="3329" max="3329" width="16.7109375" style="8" customWidth="1"/>
    <col min="3330" max="3330" width="14.28515625" style="8" customWidth="1"/>
    <col min="3331" max="3331" width="16.140625" style="8" customWidth="1"/>
    <col min="3332" max="3332" width="11.7109375" style="8" customWidth="1"/>
    <col min="3333" max="3333" width="12.28515625" style="8" customWidth="1"/>
    <col min="3334" max="3334" width="13.28515625" style="8" customWidth="1"/>
    <col min="3335" max="3335" width="11.42578125" style="8" customWidth="1"/>
    <col min="3336" max="3336" width="76.85546875" style="8" customWidth="1"/>
    <col min="3337" max="3337" width="12.5703125" style="8" customWidth="1"/>
    <col min="3338" max="3338" width="11.7109375" style="8" customWidth="1"/>
    <col min="3339" max="3339" width="10.28515625" style="8" customWidth="1"/>
    <col min="3340" max="3340" width="14.85546875" style="8" customWidth="1"/>
    <col min="3341" max="3341" width="13.28515625" style="8" customWidth="1"/>
    <col min="3342" max="3342" width="12.5703125" style="8" customWidth="1"/>
    <col min="3343" max="3343" width="14.85546875" style="8" customWidth="1"/>
    <col min="3344" max="3582" width="9.140625" style="8"/>
    <col min="3583" max="3583" width="12.140625" style="8" customWidth="1"/>
    <col min="3584" max="3584" width="14.42578125" style="8" customWidth="1"/>
    <col min="3585" max="3585" width="16.7109375" style="8" customWidth="1"/>
    <col min="3586" max="3586" width="14.28515625" style="8" customWidth="1"/>
    <col min="3587" max="3587" width="16.140625" style="8" customWidth="1"/>
    <col min="3588" max="3588" width="11.7109375" style="8" customWidth="1"/>
    <col min="3589" max="3589" width="12.28515625" style="8" customWidth="1"/>
    <col min="3590" max="3590" width="13.28515625" style="8" customWidth="1"/>
    <col min="3591" max="3591" width="11.42578125" style="8" customWidth="1"/>
    <col min="3592" max="3592" width="76.85546875" style="8" customWidth="1"/>
    <col min="3593" max="3593" width="12.5703125" style="8" customWidth="1"/>
    <col min="3594" max="3594" width="11.7109375" style="8" customWidth="1"/>
    <col min="3595" max="3595" width="10.28515625" style="8" customWidth="1"/>
    <col min="3596" max="3596" width="14.85546875" style="8" customWidth="1"/>
    <col min="3597" max="3597" width="13.28515625" style="8" customWidth="1"/>
    <col min="3598" max="3598" width="12.5703125" style="8" customWidth="1"/>
    <col min="3599" max="3599" width="14.85546875" style="8" customWidth="1"/>
    <col min="3600" max="3838" width="9.140625" style="8"/>
    <col min="3839" max="3839" width="12.140625" style="8" customWidth="1"/>
    <col min="3840" max="3840" width="14.42578125" style="8" customWidth="1"/>
    <col min="3841" max="3841" width="16.7109375" style="8" customWidth="1"/>
    <col min="3842" max="3842" width="14.28515625" style="8" customWidth="1"/>
    <col min="3843" max="3843" width="16.140625" style="8" customWidth="1"/>
    <col min="3844" max="3844" width="11.7109375" style="8" customWidth="1"/>
    <col min="3845" max="3845" width="12.28515625" style="8" customWidth="1"/>
    <col min="3846" max="3846" width="13.28515625" style="8" customWidth="1"/>
    <col min="3847" max="3847" width="11.42578125" style="8" customWidth="1"/>
    <col min="3848" max="3848" width="76.85546875" style="8" customWidth="1"/>
    <col min="3849" max="3849" width="12.5703125" style="8" customWidth="1"/>
    <col min="3850" max="3850" width="11.7109375" style="8" customWidth="1"/>
    <col min="3851" max="3851" width="10.28515625" style="8" customWidth="1"/>
    <col min="3852" max="3852" width="14.85546875" style="8" customWidth="1"/>
    <col min="3853" max="3853" width="13.28515625" style="8" customWidth="1"/>
    <col min="3854" max="3854" width="12.5703125" style="8" customWidth="1"/>
    <col min="3855" max="3855" width="14.85546875" style="8" customWidth="1"/>
    <col min="3856" max="4094" width="9.140625" style="8"/>
    <col min="4095" max="4095" width="12.140625" style="8" customWidth="1"/>
    <col min="4096" max="4096" width="14.42578125" style="8" customWidth="1"/>
    <col min="4097" max="4097" width="16.7109375" style="8" customWidth="1"/>
    <col min="4098" max="4098" width="14.28515625" style="8" customWidth="1"/>
    <col min="4099" max="4099" width="16.140625" style="8" customWidth="1"/>
    <col min="4100" max="4100" width="11.7109375" style="8" customWidth="1"/>
    <col min="4101" max="4101" width="12.28515625" style="8" customWidth="1"/>
    <col min="4102" max="4102" width="13.28515625" style="8" customWidth="1"/>
    <col min="4103" max="4103" width="11.42578125" style="8" customWidth="1"/>
    <col min="4104" max="4104" width="76.85546875" style="8" customWidth="1"/>
    <col min="4105" max="4105" width="12.5703125" style="8" customWidth="1"/>
    <col min="4106" max="4106" width="11.7109375" style="8" customWidth="1"/>
    <col min="4107" max="4107" width="10.28515625" style="8" customWidth="1"/>
    <col min="4108" max="4108" width="14.85546875" style="8" customWidth="1"/>
    <col min="4109" max="4109" width="13.28515625" style="8" customWidth="1"/>
    <col min="4110" max="4110" width="12.5703125" style="8" customWidth="1"/>
    <col min="4111" max="4111" width="14.85546875" style="8" customWidth="1"/>
    <col min="4112" max="4350" width="9.140625" style="8"/>
    <col min="4351" max="4351" width="12.140625" style="8" customWidth="1"/>
    <col min="4352" max="4352" width="14.42578125" style="8" customWidth="1"/>
    <col min="4353" max="4353" width="16.7109375" style="8" customWidth="1"/>
    <col min="4354" max="4354" width="14.28515625" style="8" customWidth="1"/>
    <col min="4355" max="4355" width="16.140625" style="8" customWidth="1"/>
    <col min="4356" max="4356" width="11.7109375" style="8" customWidth="1"/>
    <col min="4357" max="4357" width="12.28515625" style="8" customWidth="1"/>
    <col min="4358" max="4358" width="13.28515625" style="8" customWidth="1"/>
    <col min="4359" max="4359" width="11.42578125" style="8" customWidth="1"/>
    <col min="4360" max="4360" width="76.85546875" style="8" customWidth="1"/>
    <col min="4361" max="4361" width="12.5703125" style="8" customWidth="1"/>
    <col min="4362" max="4362" width="11.7109375" style="8" customWidth="1"/>
    <col min="4363" max="4363" width="10.28515625" style="8" customWidth="1"/>
    <col min="4364" max="4364" width="14.85546875" style="8" customWidth="1"/>
    <col min="4365" max="4365" width="13.28515625" style="8" customWidth="1"/>
    <col min="4366" max="4366" width="12.5703125" style="8" customWidth="1"/>
    <col min="4367" max="4367" width="14.85546875" style="8" customWidth="1"/>
    <col min="4368" max="4606" width="9.140625" style="8"/>
    <col min="4607" max="4607" width="12.140625" style="8" customWidth="1"/>
    <col min="4608" max="4608" width="14.42578125" style="8" customWidth="1"/>
    <col min="4609" max="4609" width="16.7109375" style="8" customWidth="1"/>
    <col min="4610" max="4610" width="14.28515625" style="8" customWidth="1"/>
    <col min="4611" max="4611" width="16.140625" style="8" customWidth="1"/>
    <col min="4612" max="4612" width="11.7109375" style="8" customWidth="1"/>
    <col min="4613" max="4613" width="12.28515625" style="8" customWidth="1"/>
    <col min="4614" max="4614" width="13.28515625" style="8" customWidth="1"/>
    <col min="4615" max="4615" width="11.42578125" style="8" customWidth="1"/>
    <col min="4616" max="4616" width="76.85546875" style="8" customWidth="1"/>
    <col min="4617" max="4617" width="12.5703125" style="8" customWidth="1"/>
    <col min="4618" max="4618" width="11.7109375" style="8" customWidth="1"/>
    <col min="4619" max="4619" width="10.28515625" style="8" customWidth="1"/>
    <col min="4620" max="4620" width="14.85546875" style="8" customWidth="1"/>
    <col min="4621" max="4621" width="13.28515625" style="8" customWidth="1"/>
    <col min="4622" max="4622" width="12.5703125" style="8" customWidth="1"/>
    <col min="4623" max="4623" width="14.85546875" style="8" customWidth="1"/>
    <col min="4624" max="4862" width="9.140625" style="8"/>
    <col min="4863" max="4863" width="12.140625" style="8" customWidth="1"/>
    <col min="4864" max="4864" width="14.42578125" style="8" customWidth="1"/>
    <col min="4865" max="4865" width="16.7109375" style="8" customWidth="1"/>
    <col min="4866" max="4866" width="14.28515625" style="8" customWidth="1"/>
    <col min="4867" max="4867" width="16.140625" style="8" customWidth="1"/>
    <col min="4868" max="4868" width="11.7109375" style="8" customWidth="1"/>
    <col min="4869" max="4869" width="12.28515625" style="8" customWidth="1"/>
    <col min="4870" max="4870" width="13.28515625" style="8" customWidth="1"/>
    <col min="4871" max="4871" width="11.42578125" style="8" customWidth="1"/>
    <col min="4872" max="4872" width="76.85546875" style="8" customWidth="1"/>
    <col min="4873" max="4873" width="12.5703125" style="8" customWidth="1"/>
    <col min="4874" max="4874" width="11.7109375" style="8" customWidth="1"/>
    <col min="4875" max="4875" width="10.28515625" style="8" customWidth="1"/>
    <col min="4876" max="4876" width="14.85546875" style="8" customWidth="1"/>
    <col min="4877" max="4877" width="13.28515625" style="8" customWidth="1"/>
    <col min="4878" max="4878" width="12.5703125" style="8" customWidth="1"/>
    <col min="4879" max="4879" width="14.85546875" style="8" customWidth="1"/>
    <col min="4880" max="5118" width="9.140625" style="8"/>
    <col min="5119" max="5119" width="12.140625" style="8" customWidth="1"/>
    <col min="5120" max="5120" width="14.42578125" style="8" customWidth="1"/>
    <col min="5121" max="5121" width="16.7109375" style="8" customWidth="1"/>
    <col min="5122" max="5122" width="14.28515625" style="8" customWidth="1"/>
    <col min="5123" max="5123" width="16.140625" style="8" customWidth="1"/>
    <col min="5124" max="5124" width="11.7109375" style="8" customWidth="1"/>
    <col min="5125" max="5125" width="12.28515625" style="8" customWidth="1"/>
    <col min="5126" max="5126" width="13.28515625" style="8" customWidth="1"/>
    <col min="5127" max="5127" width="11.42578125" style="8" customWidth="1"/>
    <col min="5128" max="5128" width="76.85546875" style="8" customWidth="1"/>
    <col min="5129" max="5129" width="12.5703125" style="8" customWidth="1"/>
    <col min="5130" max="5130" width="11.7109375" style="8" customWidth="1"/>
    <col min="5131" max="5131" width="10.28515625" style="8" customWidth="1"/>
    <col min="5132" max="5132" width="14.85546875" style="8" customWidth="1"/>
    <col min="5133" max="5133" width="13.28515625" style="8" customWidth="1"/>
    <col min="5134" max="5134" width="12.5703125" style="8" customWidth="1"/>
    <col min="5135" max="5135" width="14.85546875" style="8" customWidth="1"/>
    <col min="5136" max="5374" width="9.140625" style="8"/>
    <col min="5375" max="5375" width="12.140625" style="8" customWidth="1"/>
    <col min="5376" max="5376" width="14.42578125" style="8" customWidth="1"/>
    <col min="5377" max="5377" width="16.7109375" style="8" customWidth="1"/>
    <col min="5378" max="5378" width="14.28515625" style="8" customWidth="1"/>
    <col min="5379" max="5379" width="16.140625" style="8" customWidth="1"/>
    <col min="5380" max="5380" width="11.7109375" style="8" customWidth="1"/>
    <col min="5381" max="5381" width="12.28515625" style="8" customWidth="1"/>
    <col min="5382" max="5382" width="13.28515625" style="8" customWidth="1"/>
    <col min="5383" max="5383" width="11.42578125" style="8" customWidth="1"/>
    <col min="5384" max="5384" width="76.85546875" style="8" customWidth="1"/>
    <col min="5385" max="5385" width="12.5703125" style="8" customWidth="1"/>
    <col min="5386" max="5386" width="11.7109375" style="8" customWidth="1"/>
    <col min="5387" max="5387" width="10.28515625" style="8" customWidth="1"/>
    <col min="5388" max="5388" width="14.85546875" style="8" customWidth="1"/>
    <col min="5389" max="5389" width="13.28515625" style="8" customWidth="1"/>
    <col min="5390" max="5390" width="12.5703125" style="8" customWidth="1"/>
    <col min="5391" max="5391" width="14.85546875" style="8" customWidth="1"/>
    <col min="5392" max="5630" width="9.140625" style="8"/>
    <col min="5631" max="5631" width="12.140625" style="8" customWidth="1"/>
    <col min="5632" max="5632" width="14.42578125" style="8" customWidth="1"/>
    <col min="5633" max="5633" width="16.7109375" style="8" customWidth="1"/>
    <col min="5634" max="5634" width="14.28515625" style="8" customWidth="1"/>
    <col min="5635" max="5635" width="16.140625" style="8" customWidth="1"/>
    <col min="5636" max="5636" width="11.7109375" style="8" customWidth="1"/>
    <col min="5637" max="5637" width="12.28515625" style="8" customWidth="1"/>
    <col min="5638" max="5638" width="13.28515625" style="8" customWidth="1"/>
    <col min="5639" max="5639" width="11.42578125" style="8" customWidth="1"/>
    <col min="5640" max="5640" width="76.85546875" style="8" customWidth="1"/>
    <col min="5641" max="5641" width="12.5703125" style="8" customWidth="1"/>
    <col min="5642" max="5642" width="11.7109375" style="8" customWidth="1"/>
    <col min="5643" max="5643" width="10.28515625" style="8" customWidth="1"/>
    <col min="5644" max="5644" width="14.85546875" style="8" customWidth="1"/>
    <col min="5645" max="5645" width="13.28515625" style="8" customWidth="1"/>
    <col min="5646" max="5646" width="12.5703125" style="8" customWidth="1"/>
    <col min="5647" max="5647" width="14.85546875" style="8" customWidth="1"/>
    <col min="5648" max="5886" width="9.140625" style="8"/>
    <col min="5887" max="5887" width="12.140625" style="8" customWidth="1"/>
    <col min="5888" max="5888" width="14.42578125" style="8" customWidth="1"/>
    <col min="5889" max="5889" width="16.7109375" style="8" customWidth="1"/>
    <col min="5890" max="5890" width="14.28515625" style="8" customWidth="1"/>
    <col min="5891" max="5891" width="16.140625" style="8" customWidth="1"/>
    <col min="5892" max="5892" width="11.7109375" style="8" customWidth="1"/>
    <col min="5893" max="5893" width="12.28515625" style="8" customWidth="1"/>
    <col min="5894" max="5894" width="13.28515625" style="8" customWidth="1"/>
    <col min="5895" max="5895" width="11.42578125" style="8" customWidth="1"/>
    <col min="5896" max="5896" width="76.85546875" style="8" customWidth="1"/>
    <col min="5897" max="5897" width="12.5703125" style="8" customWidth="1"/>
    <col min="5898" max="5898" width="11.7109375" style="8" customWidth="1"/>
    <col min="5899" max="5899" width="10.28515625" style="8" customWidth="1"/>
    <col min="5900" max="5900" width="14.85546875" style="8" customWidth="1"/>
    <col min="5901" max="5901" width="13.28515625" style="8" customWidth="1"/>
    <col min="5902" max="5902" width="12.5703125" style="8" customWidth="1"/>
    <col min="5903" max="5903" width="14.85546875" style="8" customWidth="1"/>
    <col min="5904" max="6142" width="9.140625" style="8"/>
    <col min="6143" max="6143" width="12.140625" style="8" customWidth="1"/>
    <col min="6144" max="6144" width="14.42578125" style="8" customWidth="1"/>
    <col min="6145" max="6145" width="16.7109375" style="8" customWidth="1"/>
    <col min="6146" max="6146" width="14.28515625" style="8" customWidth="1"/>
    <col min="6147" max="6147" width="16.140625" style="8" customWidth="1"/>
    <col min="6148" max="6148" width="11.7109375" style="8" customWidth="1"/>
    <col min="6149" max="6149" width="12.28515625" style="8" customWidth="1"/>
    <col min="6150" max="6150" width="13.28515625" style="8" customWidth="1"/>
    <col min="6151" max="6151" width="11.42578125" style="8" customWidth="1"/>
    <col min="6152" max="6152" width="76.85546875" style="8" customWidth="1"/>
    <col min="6153" max="6153" width="12.5703125" style="8" customWidth="1"/>
    <col min="6154" max="6154" width="11.7109375" style="8" customWidth="1"/>
    <col min="6155" max="6155" width="10.28515625" style="8" customWidth="1"/>
    <col min="6156" max="6156" width="14.85546875" style="8" customWidth="1"/>
    <col min="6157" max="6157" width="13.28515625" style="8" customWidth="1"/>
    <col min="6158" max="6158" width="12.5703125" style="8" customWidth="1"/>
    <col min="6159" max="6159" width="14.85546875" style="8" customWidth="1"/>
    <col min="6160" max="6398" width="9.140625" style="8"/>
    <col min="6399" max="6399" width="12.140625" style="8" customWidth="1"/>
    <col min="6400" max="6400" width="14.42578125" style="8" customWidth="1"/>
    <col min="6401" max="6401" width="16.7109375" style="8" customWidth="1"/>
    <col min="6402" max="6402" width="14.28515625" style="8" customWidth="1"/>
    <col min="6403" max="6403" width="16.140625" style="8" customWidth="1"/>
    <col min="6404" max="6404" width="11.7109375" style="8" customWidth="1"/>
    <col min="6405" max="6405" width="12.28515625" style="8" customWidth="1"/>
    <col min="6406" max="6406" width="13.28515625" style="8" customWidth="1"/>
    <col min="6407" max="6407" width="11.42578125" style="8" customWidth="1"/>
    <col min="6408" max="6408" width="76.85546875" style="8" customWidth="1"/>
    <col min="6409" max="6409" width="12.5703125" style="8" customWidth="1"/>
    <col min="6410" max="6410" width="11.7109375" style="8" customWidth="1"/>
    <col min="6411" max="6411" width="10.28515625" style="8" customWidth="1"/>
    <col min="6412" max="6412" width="14.85546875" style="8" customWidth="1"/>
    <col min="6413" max="6413" width="13.28515625" style="8" customWidth="1"/>
    <col min="6414" max="6414" width="12.5703125" style="8" customWidth="1"/>
    <col min="6415" max="6415" width="14.85546875" style="8" customWidth="1"/>
    <col min="6416" max="6654" width="9.140625" style="8"/>
    <col min="6655" max="6655" width="12.140625" style="8" customWidth="1"/>
    <col min="6656" max="6656" width="14.42578125" style="8" customWidth="1"/>
    <col min="6657" max="6657" width="16.7109375" style="8" customWidth="1"/>
    <col min="6658" max="6658" width="14.28515625" style="8" customWidth="1"/>
    <col min="6659" max="6659" width="16.140625" style="8" customWidth="1"/>
    <col min="6660" max="6660" width="11.7109375" style="8" customWidth="1"/>
    <col min="6661" max="6661" width="12.28515625" style="8" customWidth="1"/>
    <col min="6662" max="6662" width="13.28515625" style="8" customWidth="1"/>
    <col min="6663" max="6663" width="11.42578125" style="8" customWidth="1"/>
    <col min="6664" max="6664" width="76.85546875" style="8" customWidth="1"/>
    <col min="6665" max="6665" width="12.5703125" style="8" customWidth="1"/>
    <col min="6666" max="6666" width="11.7109375" style="8" customWidth="1"/>
    <col min="6667" max="6667" width="10.28515625" style="8" customWidth="1"/>
    <col min="6668" max="6668" width="14.85546875" style="8" customWidth="1"/>
    <col min="6669" max="6669" width="13.28515625" style="8" customWidth="1"/>
    <col min="6670" max="6670" width="12.5703125" style="8" customWidth="1"/>
    <col min="6671" max="6671" width="14.85546875" style="8" customWidth="1"/>
    <col min="6672" max="6910" width="9.140625" style="8"/>
    <col min="6911" max="6911" width="12.140625" style="8" customWidth="1"/>
    <col min="6912" max="6912" width="14.42578125" style="8" customWidth="1"/>
    <col min="6913" max="6913" width="16.7109375" style="8" customWidth="1"/>
    <col min="6914" max="6914" width="14.28515625" style="8" customWidth="1"/>
    <col min="6915" max="6915" width="16.140625" style="8" customWidth="1"/>
    <col min="6916" max="6916" width="11.7109375" style="8" customWidth="1"/>
    <col min="6917" max="6917" width="12.28515625" style="8" customWidth="1"/>
    <col min="6918" max="6918" width="13.28515625" style="8" customWidth="1"/>
    <col min="6919" max="6919" width="11.42578125" style="8" customWidth="1"/>
    <col min="6920" max="6920" width="76.85546875" style="8" customWidth="1"/>
    <col min="6921" max="6921" width="12.5703125" style="8" customWidth="1"/>
    <col min="6922" max="6922" width="11.7109375" style="8" customWidth="1"/>
    <col min="6923" max="6923" width="10.28515625" style="8" customWidth="1"/>
    <col min="6924" max="6924" width="14.85546875" style="8" customWidth="1"/>
    <col min="6925" max="6925" width="13.28515625" style="8" customWidth="1"/>
    <col min="6926" max="6926" width="12.5703125" style="8" customWidth="1"/>
    <col min="6927" max="6927" width="14.85546875" style="8" customWidth="1"/>
    <col min="6928" max="7166" width="9.140625" style="8"/>
    <col min="7167" max="7167" width="12.140625" style="8" customWidth="1"/>
    <col min="7168" max="7168" width="14.42578125" style="8" customWidth="1"/>
    <col min="7169" max="7169" width="16.7109375" style="8" customWidth="1"/>
    <col min="7170" max="7170" width="14.28515625" style="8" customWidth="1"/>
    <col min="7171" max="7171" width="16.140625" style="8" customWidth="1"/>
    <col min="7172" max="7172" width="11.7109375" style="8" customWidth="1"/>
    <col min="7173" max="7173" width="12.28515625" style="8" customWidth="1"/>
    <col min="7174" max="7174" width="13.28515625" style="8" customWidth="1"/>
    <col min="7175" max="7175" width="11.42578125" style="8" customWidth="1"/>
    <col min="7176" max="7176" width="76.85546875" style="8" customWidth="1"/>
    <col min="7177" max="7177" width="12.5703125" style="8" customWidth="1"/>
    <col min="7178" max="7178" width="11.7109375" style="8" customWidth="1"/>
    <col min="7179" max="7179" width="10.28515625" style="8" customWidth="1"/>
    <col min="7180" max="7180" width="14.85546875" style="8" customWidth="1"/>
    <col min="7181" max="7181" width="13.28515625" style="8" customWidth="1"/>
    <col min="7182" max="7182" width="12.5703125" style="8" customWidth="1"/>
    <col min="7183" max="7183" width="14.85546875" style="8" customWidth="1"/>
    <col min="7184" max="7422" width="9.140625" style="8"/>
    <col min="7423" max="7423" width="12.140625" style="8" customWidth="1"/>
    <col min="7424" max="7424" width="14.42578125" style="8" customWidth="1"/>
    <col min="7425" max="7425" width="16.7109375" style="8" customWidth="1"/>
    <col min="7426" max="7426" width="14.28515625" style="8" customWidth="1"/>
    <col min="7427" max="7427" width="16.140625" style="8" customWidth="1"/>
    <col min="7428" max="7428" width="11.7109375" style="8" customWidth="1"/>
    <col min="7429" max="7429" width="12.28515625" style="8" customWidth="1"/>
    <col min="7430" max="7430" width="13.28515625" style="8" customWidth="1"/>
    <col min="7431" max="7431" width="11.42578125" style="8" customWidth="1"/>
    <col min="7432" max="7432" width="76.85546875" style="8" customWidth="1"/>
    <col min="7433" max="7433" width="12.5703125" style="8" customWidth="1"/>
    <col min="7434" max="7434" width="11.7109375" style="8" customWidth="1"/>
    <col min="7435" max="7435" width="10.28515625" style="8" customWidth="1"/>
    <col min="7436" max="7436" width="14.85546875" style="8" customWidth="1"/>
    <col min="7437" max="7437" width="13.28515625" style="8" customWidth="1"/>
    <col min="7438" max="7438" width="12.5703125" style="8" customWidth="1"/>
    <col min="7439" max="7439" width="14.85546875" style="8" customWidth="1"/>
    <col min="7440" max="7678" width="9.140625" style="8"/>
    <col min="7679" max="7679" width="12.140625" style="8" customWidth="1"/>
    <col min="7680" max="7680" width="14.42578125" style="8" customWidth="1"/>
    <col min="7681" max="7681" width="16.7109375" style="8" customWidth="1"/>
    <col min="7682" max="7682" width="14.28515625" style="8" customWidth="1"/>
    <col min="7683" max="7683" width="16.140625" style="8" customWidth="1"/>
    <col min="7684" max="7684" width="11.7109375" style="8" customWidth="1"/>
    <col min="7685" max="7685" width="12.28515625" style="8" customWidth="1"/>
    <col min="7686" max="7686" width="13.28515625" style="8" customWidth="1"/>
    <col min="7687" max="7687" width="11.42578125" style="8" customWidth="1"/>
    <col min="7688" max="7688" width="76.85546875" style="8" customWidth="1"/>
    <col min="7689" max="7689" width="12.5703125" style="8" customWidth="1"/>
    <col min="7690" max="7690" width="11.7109375" style="8" customWidth="1"/>
    <col min="7691" max="7691" width="10.28515625" style="8" customWidth="1"/>
    <col min="7692" max="7692" width="14.85546875" style="8" customWidth="1"/>
    <col min="7693" max="7693" width="13.28515625" style="8" customWidth="1"/>
    <col min="7694" max="7694" width="12.5703125" style="8" customWidth="1"/>
    <col min="7695" max="7695" width="14.85546875" style="8" customWidth="1"/>
    <col min="7696" max="7934" width="9.140625" style="8"/>
    <col min="7935" max="7935" width="12.140625" style="8" customWidth="1"/>
    <col min="7936" max="7936" width="14.42578125" style="8" customWidth="1"/>
    <col min="7937" max="7937" width="16.7109375" style="8" customWidth="1"/>
    <col min="7938" max="7938" width="14.28515625" style="8" customWidth="1"/>
    <col min="7939" max="7939" width="16.140625" style="8" customWidth="1"/>
    <col min="7940" max="7940" width="11.7109375" style="8" customWidth="1"/>
    <col min="7941" max="7941" width="12.28515625" style="8" customWidth="1"/>
    <col min="7942" max="7942" width="13.28515625" style="8" customWidth="1"/>
    <col min="7943" max="7943" width="11.42578125" style="8" customWidth="1"/>
    <col min="7944" max="7944" width="76.85546875" style="8" customWidth="1"/>
    <col min="7945" max="7945" width="12.5703125" style="8" customWidth="1"/>
    <col min="7946" max="7946" width="11.7109375" style="8" customWidth="1"/>
    <col min="7947" max="7947" width="10.28515625" style="8" customWidth="1"/>
    <col min="7948" max="7948" width="14.85546875" style="8" customWidth="1"/>
    <col min="7949" max="7949" width="13.28515625" style="8" customWidth="1"/>
    <col min="7950" max="7950" width="12.5703125" style="8" customWidth="1"/>
    <col min="7951" max="7951" width="14.85546875" style="8" customWidth="1"/>
    <col min="7952" max="8190" width="9.140625" style="8"/>
    <col min="8191" max="8191" width="12.140625" style="8" customWidth="1"/>
    <col min="8192" max="8192" width="14.42578125" style="8" customWidth="1"/>
    <col min="8193" max="8193" width="16.7109375" style="8" customWidth="1"/>
    <col min="8194" max="8194" width="14.28515625" style="8" customWidth="1"/>
    <col min="8195" max="8195" width="16.140625" style="8" customWidth="1"/>
    <col min="8196" max="8196" width="11.7109375" style="8" customWidth="1"/>
    <col min="8197" max="8197" width="12.28515625" style="8" customWidth="1"/>
    <col min="8198" max="8198" width="13.28515625" style="8" customWidth="1"/>
    <col min="8199" max="8199" width="11.42578125" style="8" customWidth="1"/>
    <col min="8200" max="8200" width="76.85546875" style="8" customWidth="1"/>
    <col min="8201" max="8201" width="12.5703125" style="8" customWidth="1"/>
    <col min="8202" max="8202" width="11.7109375" style="8" customWidth="1"/>
    <col min="8203" max="8203" width="10.28515625" style="8" customWidth="1"/>
    <col min="8204" max="8204" width="14.85546875" style="8" customWidth="1"/>
    <col min="8205" max="8205" width="13.28515625" style="8" customWidth="1"/>
    <col min="8206" max="8206" width="12.5703125" style="8" customWidth="1"/>
    <col min="8207" max="8207" width="14.85546875" style="8" customWidth="1"/>
    <col min="8208" max="8446" width="9.140625" style="8"/>
    <col min="8447" max="8447" width="12.140625" style="8" customWidth="1"/>
    <col min="8448" max="8448" width="14.42578125" style="8" customWidth="1"/>
    <col min="8449" max="8449" width="16.7109375" style="8" customWidth="1"/>
    <col min="8450" max="8450" width="14.28515625" style="8" customWidth="1"/>
    <col min="8451" max="8451" width="16.140625" style="8" customWidth="1"/>
    <col min="8452" max="8452" width="11.7109375" style="8" customWidth="1"/>
    <col min="8453" max="8453" width="12.28515625" style="8" customWidth="1"/>
    <col min="8454" max="8454" width="13.28515625" style="8" customWidth="1"/>
    <col min="8455" max="8455" width="11.42578125" style="8" customWidth="1"/>
    <col min="8456" max="8456" width="76.85546875" style="8" customWidth="1"/>
    <col min="8457" max="8457" width="12.5703125" style="8" customWidth="1"/>
    <col min="8458" max="8458" width="11.7109375" style="8" customWidth="1"/>
    <col min="8459" max="8459" width="10.28515625" style="8" customWidth="1"/>
    <col min="8460" max="8460" width="14.85546875" style="8" customWidth="1"/>
    <col min="8461" max="8461" width="13.28515625" style="8" customWidth="1"/>
    <col min="8462" max="8462" width="12.5703125" style="8" customWidth="1"/>
    <col min="8463" max="8463" width="14.85546875" style="8" customWidth="1"/>
    <col min="8464" max="8702" width="9.140625" style="8"/>
    <col min="8703" max="8703" width="12.140625" style="8" customWidth="1"/>
    <col min="8704" max="8704" width="14.42578125" style="8" customWidth="1"/>
    <col min="8705" max="8705" width="16.7109375" style="8" customWidth="1"/>
    <col min="8706" max="8706" width="14.28515625" style="8" customWidth="1"/>
    <col min="8707" max="8707" width="16.140625" style="8" customWidth="1"/>
    <col min="8708" max="8708" width="11.7109375" style="8" customWidth="1"/>
    <col min="8709" max="8709" width="12.28515625" style="8" customWidth="1"/>
    <col min="8710" max="8710" width="13.28515625" style="8" customWidth="1"/>
    <col min="8711" max="8711" width="11.42578125" style="8" customWidth="1"/>
    <col min="8712" max="8712" width="76.85546875" style="8" customWidth="1"/>
    <col min="8713" max="8713" width="12.5703125" style="8" customWidth="1"/>
    <col min="8714" max="8714" width="11.7109375" style="8" customWidth="1"/>
    <col min="8715" max="8715" width="10.28515625" style="8" customWidth="1"/>
    <col min="8716" max="8716" width="14.85546875" style="8" customWidth="1"/>
    <col min="8717" max="8717" width="13.28515625" style="8" customWidth="1"/>
    <col min="8718" max="8718" width="12.5703125" style="8" customWidth="1"/>
    <col min="8719" max="8719" width="14.85546875" style="8" customWidth="1"/>
    <col min="8720" max="8958" width="9.140625" style="8"/>
    <col min="8959" max="8959" width="12.140625" style="8" customWidth="1"/>
    <col min="8960" max="8960" width="14.42578125" style="8" customWidth="1"/>
    <col min="8961" max="8961" width="16.7109375" style="8" customWidth="1"/>
    <col min="8962" max="8962" width="14.28515625" style="8" customWidth="1"/>
    <col min="8963" max="8963" width="16.140625" style="8" customWidth="1"/>
    <col min="8964" max="8964" width="11.7109375" style="8" customWidth="1"/>
    <col min="8965" max="8965" width="12.28515625" style="8" customWidth="1"/>
    <col min="8966" max="8966" width="13.28515625" style="8" customWidth="1"/>
    <col min="8967" max="8967" width="11.42578125" style="8" customWidth="1"/>
    <col min="8968" max="8968" width="76.85546875" style="8" customWidth="1"/>
    <col min="8969" max="8969" width="12.5703125" style="8" customWidth="1"/>
    <col min="8970" max="8970" width="11.7109375" style="8" customWidth="1"/>
    <col min="8971" max="8971" width="10.28515625" style="8" customWidth="1"/>
    <col min="8972" max="8972" width="14.85546875" style="8" customWidth="1"/>
    <col min="8973" max="8973" width="13.28515625" style="8" customWidth="1"/>
    <col min="8974" max="8974" width="12.5703125" style="8" customWidth="1"/>
    <col min="8975" max="8975" width="14.85546875" style="8" customWidth="1"/>
    <col min="8976" max="9214" width="9.140625" style="8"/>
    <col min="9215" max="9215" width="12.140625" style="8" customWidth="1"/>
    <col min="9216" max="9216" width="14.42578125" style="8" customWidth="1"/>
    <col min="9217" max="9217" width="16.7109375" style="8" customWidth="1"/>
    <col min="9218" max="9218" width="14.28515625" style="8" customWidth="1"/>
    <col min="9219" max="9219" width="16.140625" style="8" customWidth="1"/>
    <col min="9220" max="9220" width="11.7109375" style="8" customWidth="1"/>
    <col min="9221" max="9221" width="12.28515625" style="8" customWidth="1"/>
    <col min="9222" max="9222" width="13.28515625" style="8" customWidth="1"/>
    <col min="9223" max="9223" width="11.42578125" style="8" customWidth="1"/>
    <col min="9224" max="9224" width="76.85546875" style="8" customWidth="1"/>
    <col min="9225" max="9225" width="12.5703125" style="8" customWidth="1"/>
    <col min="9226" max="9226" width="11.7109375" style="8" customWidth="1"/>
    <col min="9227" max="9227" width="10.28515625" style="8" customWidth="1"/>
    <col min="9228" max="9228" width="14.85546875" style="8" customWidth="1"/>
    <col min="9229" max="9229" width="13.28515625" style="8" customWidth="1"/>
    <col min="9230" max="9230" width="12.5703125" style="8" customWidth="1"/>
    <col min="9231" max="9231" width="14.85546875" style="8" customWidth="1"/>
    <col min="9232" max="9470" width="9.140625" style="8"/>
    <col min="9471" max="9471" width="12.140625" style="8" customWidth="1"/>
    <col min="9472" max="9472" width="14.42578125" style="8" customWidth="1"/>
    <col min="9473" max="9473" width="16.7109375" style="8" customWidth="1"/>
    <col min="9474" max="9474" width="14.28515625" style="8" customWidth="1"/>
    <col min="9475" max="9475" width="16.140625" style="8" customWidth="1"/>
    <col min="9476" max="9476" width="11.7109375" style="8" customWidth="1"/>
    <col min="9477" max="9477" width="12.28515625" style="8" customWidth="1"/>
    <col min="9478" max="9478" width="13.28515625" style="8" customWidth="1"/>
    <col min="9479" max="9479" width="11.42578125" style="8" customWidth="1"/>
    <col min="9480" max="9480" width="76.85546875" style="8" customWidth="1"/>
    <col min="9481" max="9481" width="12.5703125" style="8" customWidth="1"/>
    <col min="9482" max="9482" width="11.7109375" style="8" customWidth="1"/>
    <col min="9483" max="9483" width="10.28515625" style="8" customWidth="1"/>
    <col min="9484" max="9484" width="14.85546875" style="8" customWidth="1"/>
    <col min="9485" max="9485" width="13.28515625" style="8" customWidth="1"/>
    <col min="9486" max="9486" width="12.5703125" style="8" customWidth="1"/>
    <col min="9487" max="9487" width="14.85546875" style="8" customWidth="1"/>
    <col min="9488" max="9726" width="9.140625" style="8"/>
    <col min="9727" max="9727" width="12.140625" style="8" customWidth="1"/>
    <col min="9728" max="9728" width="14.42578125" style="8" customWidth="1"/>
    <col min="9729" max="9729" width="16.7109375" style="8" customWidth="1"/>
    <col min="9730" max="9730" width="14.28515625" style="8" customWidth="1"/>
    <col min="9731" max="9731" width="16.140625" style="8" customWidth="1"/>
    <col min="9732" max="9732" width="11.7109375" style="8" customWidth="1"/>
    <col min="9733" max="9733" width="12.28515625" style="8" customWidth="1"/>
    <col min="9734" max="9734" width="13.28515625" style="8" customWidth="1"/>
    <col min="9735" max="9735" width="11.42578125" style="8" customWidth="1"/>
    <col min="9736" max="9736" width="76.85546875" style="8" customWidth="1"/>
    <col min="9737" max="9737" width="12.5703125" style="8" customWidth="1"/>
    <col min="9738" max="9738" width="11.7109375" style="8" customWidth="1"/>
    <col min="9739" max="9739" width="10.28515625" style="8" customWidth="1"/>
    <col min="9740" max="9740" width="14.85546875" style="8" customWidth="1"/>
    <col min="9741" max="9741" width="13.28515625" style="8" customWidth="1"/>
    <col min="9742" max="9742" width="12.5703125" style="8" customWidth="1"/>
    <col min="9743" max="9743" width="14.85546875" style="8" customWidth="1"/>
    <col min="9744" max="9982" width="9.140625" style="8"/>
    <col min="9983" max="9983" width="12.140625" style="8" customWidth="1"/>
    <col min="9984" max="9984" width="14.42578125" style="8" customWidth="1"/>
    <col min="9985" max="9985" width="16.7109375" style="8" customWidth="1"/>
    <col min="9986" max="9986" width="14.28515625" style="8" customWidth="1"/>
    <col min="9987" max="9987" width="16.140625" style="8" customWidth="1"/>
    <col min="9988" max="9988" width="11.7109375" style="8" customWidth="1"/>
    <col min="9989" max="9989" width="12.28515625" style="8" customWidth="1"/>
    <col min="9990" max="9990" width="13.28515625" style="8" customWidth="1"/>
    <col min="9991" max="9991" width="11.42578125" style="8" customWidth="1"/>
    <col min="9992" max="9992" width="76.85546875" style="8" customWidth="1"/>
    <col min="9993" max="9993" width="12.5703125" style="8" customWidth="1"/>
    <col min="9994" max="9994" width="11.7109375" style="8" customWidth="1"/>
    <col min="9995" max="9995" width="10.28515625" style="8" customWidth="1"/>
    <col min="9996" max="9996" width="14.85546875" style="8" customWidth="1"/>
    <col min="9997" max="9997" width="13.28515625" style="8" customWidth="1"/>
    <col min="9998" max="9998" width="12.5703125" style="8" customWidth="1"/>
    <col min="9999" max="9999" width="14.85546875" style="8" customWidth="1"/>
    <col min="10000" max="10238" width="9.140625" style="8"/>
    <col min="10239" max="10239" width="12.140625" style="8" customWidth="1"/>
    <col min="10240" max="10240" width="14.42578125" style="8" customWidth="1"/>
    <col min="10241" max="10241" width="16.7109375" style="8" customWidth="1"/>
    <col min="10242" max="10242" width="14.28515625" style="8" customWidth="1"/>
    <col min="10243" max="10243" width="16.140625" style="8" customWidth="1"/>
    <col min="10244" max="10244" width="11.7109375" style="8" customWidth="1"/>
    <col min="10245" max="10245" width="12.28515625" style="8" customWidth="1"/>
    <col min="10246" max="10246" width="13.28515625" style="8" customWidth="1"/>
    <col min="10247" max="10247" width="11.42578125" style="8" customWidth="1"/>
    <col min="10248" max="10248" width="76.85546875" style="8" customWidth="1"/>
    <col min="10249" max="10249" width="12.5703125" style="8" customWidth="1"/>
    <col min="10250" max="10250" width="11.7109375" style="8" customWidth="1"/>
    <col min="10251" max="10251" width="10.28515625" style="8" customWidth="1"/>
    <col min="10252" max="10252" width="14.85546875" style="8" customWidth="1"/>
    <col min="10253" max="10253" width="13.28515625" style="8" customWidth="1"/>
    <col min="10254" max="10254" width="12.5703125" style="8" customWidth="1"/>
    <col min="10255" max="10255" width="14.85546875" style="8" customWidth="1"/>
    <col min="10256" max="10494" width="9.140625" style="8"/>
    <col min="10495" max="10495" width="12.140625" style="8" customWidth="1"/>
    <col min="10496" max="10496" width="14.42578125" style="8" customWidth="1"/>
    <col min="10497" max="10497" width="16.7109375" style="8" customWidth="1"/>
    <col min="10498" max="10498" width="14.28515625" style="8" customWidth="1"/>
    <col min="10499" max="10499" width="16.140625" style="8" customWidth="1"/>
    <col min="10500" max="10500" width="11.7109375" style="8" customWidth="1"/>
    <col min="10501" max="10501" width="12.28515625" style="8" customWidth="1"/>
    <col min="10502" max="10502" width="13.28515625" style="8" customWidth="1"/>
    <col min="10503" max="10503" width="11.42578125" style="8" customWidth="1"/>
    <col min="10504" max="10504" width="76.85546875" style="8" customWidth="1"/>
    <col min="10505" max="10505" width="12.5703125" style="8" customWidth="1"/>
    <col min="10506" max="10506" width="11.7109375" style="8" customWidth="1"/>
    <col min="10507" max="10507" width="10.28515625" style="8" customWidth="1"/>
    <col min="10508" max="10508" width="14.85546875" style="8" customWidth="1"/>
    <col min="10509" max="10509" width="13.28515625" style="8" customWidth="1"/>
    <col min="10510" max="10510" width="12.5703125" style="8" customWidth="1"/>
    <col min="10511" max="10511" width="14.85546875" style="8" customWidth="1"/>
    <col min="10512" max="10750" width="9.140625" style="8"/>
    <col min="10751" max="10751" width="12.140625" style="8" customWidth="1"/>
    <col min="10752" max="10752" width="14.42578125" style="8" customWidth="1"/>
    <col min="10753" max="10753" width="16.7109375" style="8" customWidth="1"/>
    <col min="10754" max="10754" width="14.28515625" style="8" customWidth="1"/>
    <col min="10755" max="10755" width="16.140625" style="8" customWidth="1"/>
    <col min="10756" max="10756" width="11.7109375" style="8" customWidth="1"/>
    <col min="10757" max="10757" width="12.28515625" style="8" customWidth="1"/>
    <col min="10758" max="10758" width="13.28515625" style="8" customWidth="1"/>
    <col min="10759" max="10759" width="11.42578125" style="8" customWidth="1"/>
    <col min="10760" max="10760" width="76.85546875" style="8" customWidth="1"/>
    <col min="10761" max="10761" width="12.5703125" style="8" customWidth="1"/>
    <col min="10762" max="10762" width="11.7109375" style="8" customWidth="1"/>
    <col min="10763" max="10763" width="10.28515625" style="8" customWidth="1"/>
    <col min="10764" max="10764" width="14.85546875" style="8" customWidth="1"/>
    <col min="10765" max="10765" width="13.28515625" style="8" customWidth="1"/>
    <col min="10766" max="10766" width="12.5703125" style="8" customWidth="1"/>
    <col min="10767" max="10767" width="14.85546875" style="8" customWidth="1"/>
    <col min="10768" max="11006" width="9.140625" style="8"/>
    <col min="11007" max="11007" width="12.140625" style="8" customWidth="1"/>
    <col min="11008" max="11008" width="14.42578125" style="8" customWidth="1"/>
    <col min="11009" max="11009" width="16.7109375" style="8" customWidth="1"/>
    <col min="11010" max="11010" width="14.28515625" style="8" customWidth="1"/>
    <col min="11011" max="11011" width="16.140625" style="8" customWidth="1"/>
    <col min="11012" max="11012" width="11.7109375" style="8" customWidth="1"/>
    <col min="11013" max="11013" width="12.28515625" style="8" customWidth="1"/>
    <col min="11014" max="11014" width="13.28515625" style="8" customWidth="1"/>
    <col min="11015" max="11015" width="11.42578125" style="8" customWidth="1"/>
    <col min="11016" max="11016" width="76.85546875" style="8" customWidth="1"/>
    <col min="11017" max="11017" width="12.5703125" style="8" customWidth="1"/>
    <col min="11018" max="11018" width="11.7109375" style="8" customWidth="1"/>
    <col min="11019" max="11019" width="10.28515625" style="8" customWidth="1"/>
    <col min="11020" max="11020" width="14.85546875" style="8" customWidth="1"/>
    <col min="11021" max="11021" width="13.28515625" style="8" customWidth="1"/>
    <col min="11022" max="11022" width="12.5703125" style="8" customWidth="1"/>
    <col min="11023" max="11023" width="14.85546875" style="8" customWidth="1"/>
    <col min="11024" max="11262" width="9.140625" style="8"/>
    <col min="11263" max="11263" width="12.140625" style="8" customWidth="1"/>
    <col min="11264" max="11264" width="14.42578125" style="8" customWidth="1"/>
    <col min="11265" max="11265" width="16.7109375" style="8" customWidth="1"/>
    <col min="11266" max="11266" width="14.28515625" style="8" customWidth="1"/>
    <col min="11267" max="11267" width="16.140625" style="8" customWidth="1"/>
    <col min="11268" max="11268" width="11.7109375" style="8" customWidth="1"/>
    <col min="11269" max="11269" width="12.28515625" style="8" customWidth="1"/>
    <col min="11270" max="11270" width="13.28515625" style="8" customWidth="1"/>
    <col min="11271" max="11271" width="11.42578125" style="8" customWidth="1"/>
    <col min="11272" max="11272" width="76.85546875" style="8" customWidth="1"/>
    <col min="11273" max="11273" width="12.5703125" style="8" customWidth="1"/>
    <col min="11274" max="11274" width="11.7109375" style="8" customWidth="1"/>
    <col min="11275" max="11275" width="10.28515625" style="8" customWidth="1"/>
    <col min="11276" max="11276" width="14.85546875" style="8" customWidth="1"/>
    <col min="11277" max="11277" width="13.28515625" style="8" customWidth="1"/>
    <col min="11278" max="11278" width="12.5703125" style="8" customWidth="1"/>
    <col min="11279" max="11279" width="14.85546875" style="8" customWidth="1"/>
    <col min="11280" max="11518" width="9.140625" style="8"/>
    <col min="11519" max="11519" width="12.140625" style="8" customWidth="1"/>
    <col min="11520" max="11520" width="14.42578125" style="8" customWidth="1"/>
    <col min="11521" max="11521" width="16.7109375" style="8" customWidth="1"/>
    <col min="11522" max="11522" width="14.28515625" style="8" customWidth="1"/>
    <col min="11523" max="11523" width="16.140625" style="8" customWidth="1"/>
    <col min="11524" max="11524" width="11.7109375" style="8" customWidth="1"/>
    <col min="11525" max="11525" width="12.28515625" style="8" customWidth="1"/>
    <col min="11526" max="11526" width="13.28515625" style="8" customWidth="1"/>
    <col min="11527" max="11527" width="11.42578125" style="8" customWidth="1"/>
    <col min="11528" max="11528" width="76.85546875" style="8" customWidth="1"/>
    <col min="11529" max="11529" width="12.5703125" style="8" customWidth="1"/>
    <col min="11530" max="11530" width="11.7109375" style="8" customWidth="1"/>
    <col min="11531" max="11531" width="10.28515625" style="8" customWidth="1"/>
    <col min="11532" max="11532" width="14.85546875" style="8" customWidth="1"/>
    <col min="11533" max="11533" width="13.28515625" style="8" customWidth="1"/>
    <col min="11534" max="11534" width="12.5703125" style="8" customWidth="1"/>
    <col min="11535" max="11535" width="14.85546875" style="8" customWidth="1"/>
    <col min="11536" max="11774" width="9.140625" style="8"/>
    <col min="11775" max="11775" width="12.140625" style="8" customWidth="1"/>
    <col min="11776" max="11776" width="14.42578125" style="8" customWidth="1"/>
    <col min="11777" max="11777" width="16.7109375" style="8" customWidth="1"/>
    <col min="11778" max="11778" width="14.28515625" style="8" customWidth="1"/>
    <col min="11779" max="11779" width="16.140625" style="8" customWidth="1"/>
    <col min="11780" max="11780" width="11.7109375" style="8" customWidth="1"/>
    <col min="11781" max="11781" width="12.28515625" style="8" customWidth="1"/>
    <col min="11782" max="11782" width="13.28515625" style="8" customWidth="1"/>
    <col min="11783" max="11783" width="11.42578125" style="8" customWidth="1"/>
    <col min="11784" max="11784" width="76.85546875" style="8" customWidth="1"/>
    <col min="11785" max="11785" width="12.5703125" style="8" customWidth="1"/>
    <col min="11786" max="11786" width="11.7109375" style="8" customWidth="1"/>
    <col min="11787" max="11787" width="10.28515625" style="8" customWidth="1"/>
    <col min="11788" max="11788" width="14.85546875" style="8" customWidth="1"/>
    <col min="11789" max="11789" width="13.28515625" style="8" customWidth="1"/>
    <col min="11790" max="11790" width="12.5703125" style="8" customWidth="1"/>
    <col min="11791" max="11791" width="14.85546875" style="8" customWidth="1"/>
    <col min="11792" max="12030" width="9.140625" style="8"/>
    <col min="12031" max="12031" width="12.140625" style="8" customWidth="1"/>
    <col min="12032" max="12032" width="14.42578125" style="8" customWidth="1"/>
    <col min="12033" max="12033" width="16.7109375" style="8" customWidth="1"/>
    <col min="12034" max="12034" width="14.28515625" style="8" customWidth="1"/>
    <col min="12035" max="12035" width="16.140625" style="8" customWidth="1"/>
    <col min="12036" max="12036" width="11.7109375" style="8" customWidth="1"/>
    <col min="12037" max="12037" width="12.28515625" style="8" customWidth="1"/>
    <col min="12038" max="12038" width="13.28515625" style="8" customWidth="1"/>
    <col min="12039" max="12039" width="11.42578125" style="8" customWidth="1"/>
    <col min="12040" max="12040" width="76.85546875" style="8" customWidth="1"/>
    <col min="12041" max="12041" width="12.5703125" style="8" customWidth="1"/>
    <col min="12042" max="12042" width="11.7109375" style="8" customWidth="1"/>
    <col min="12043" max="12043" width="10.28515625" style="8" customWidth="1"/>
    <col min="12044" max="12044" width="14.85546875" style="8" customWidth="1"/>
    <col min="12045" max="12045" width="13.28515625" style="8" customWidth="1"/>
    <col min="12046" max="12046" width="12.5703125" style="8" customWidth="1"/>
    <col min="12047" max="12047" width="14.85546875" style="8" customWidth="1"/>
    <col min="12048" max="12286" width="9.140625" style="8"/>
    <col min="12287" max="12287" width="12.140625" style="8" customWidth="1"/>
    <col min="12288" max="12288" width="14.42578125" style="8" customWidth="1"/>
    <col min="12289" max="12289" width="16.7109375" style="8" customWidth="1"/>
    <col min="12290" max="12290" width="14.28515625" style="8" customWidth="1"/>
    <col min="12291" max="12291" width="16.140625" style="8" customWidth="1"/>
    <col min="12292" max="12292" width="11.7109375" style="8" customWidth="1"/>
    <col min="12293" max="12293" width="12.28515625" style="8" customWidth="1"/>
    <col min="12294" max="12294" width="13.28515625" style="8" customWidth="1"/>
    <col min="12295" max="12295" width="11.42578125" style="8" customWidth="1"/>
    <col min="12296" max="12296" width="76.85546875" style="8" customWidth="1"/>
    <col min="12297" max="12297" width="12.5703125" style="8" customWidth="1"/>
    <col min="12298" max="12298" width="11.7109375" style="8" customWidth="1"/>
    <col min="12299" max="12299" width="10.28515625" style="8" customWidth="1"/>
    <col min="12300" max="12300" width="14.85546875" style="8" customWidth="1"/>
    <col min="12301" max="12301" width="13.28515625" style="8" customWidth="1"/>
    <col min="12302" max="12302" width="12.5703125" style="8" customWidth="1"/>
    <col min="12303" max="12303" width="14.85546875" style="8" customWidth="1"/>
    <col min="12304" max="12542" width="9.140625" style="8"/>
    <col min="12543" max="12543" width="12.140625" style="8" customWidth="1"/>
    <col min="12544" max="12544" width="14.42578125" style="8" customWidth="1"/>
    <col min="12545" max="12545" width="16.7109375" style="8" customWidth="1"/>
    <col min="12546" max="12546" width="14.28515625" style="8" customWidth="1"/>
    <col min="12547" max="12547" width="16.140625" style="8" customWidth="1"/>
    <col min="12548" max="12548" width="11.7109375" style="8" customWidth="1"/>
    <col min="12549" max="12549" width="12.28515625" style="8" customWidth="1"/>
    <col min="12550" max="12550" width="13.28515625" style="8" customWidth="1"/>
    <col min="12551" max="12551" width="11.42578125" style="8" customWidth="1"/>
    <col min="12552" max="12552" width="76.85546875" style="8" customWidth="1"/>
    <col min="12553" max="12553" width="12.5703125" style="8" customWidth="1"/>
    <col min="12554" max="12554" width="11.7109375" style="8" customWidth="1"/>
    <col min="12555" max="12555" width="10.28515625" style="8" customWidth="1"/>
    <col min="12556" max="12556" width="14.85546875" style="8" customWidth="1"/>
    <col min="12557" max="12557" width="13.28515625" style="8" customWidth="1"/>
    <col min="12558" max="12558" width="12.5703125" style="8" customWidth="1"/>
    <col min="12559" max="12559" width="14.85546875" style="8" customWidth="1"/>
    <col min="12560" max="12798" width="9.140625" style="8"/>
    <col min="12799" max="12799" width="12.140625" style="8" customWidth="1"/>
    <col min="12800" max="12800" width="14.42578125" style="8" customWidth="1"/>
    <col min="12801" max="12801" width="16.7109375" style="8" customWidth="1"/>
    <col min="12802" max="12802" width="14.28515625" style="8" customWidth="1"/>
    <col min="12803" max="12803" width="16.140625" style="8" customWidth="1"/>
    <col min="12804" max="12804" width="11.7109375" style="8" customWidth="1"/>
    <col min="12805" max="12805" width="12.28515625" style="8" customWidth="1"/>
    <col min="12806" max="12806" width="13.28515625" style="8" customWidth="1"/>
    <col min="12807" max="12807" width="11.42578125" style="8" customWidth="1"/>
    <col min="12808" max="12808" width="76.85546875" style="8" customWidth="1"/>
    <col min="12809" max="12809" width="12.5703125" style="8" customWidth="1"/>
    <col min="12810" max="12810" width="11.7109375" style="8" customWidth="1"/>
    <col min="12811" max="12811" width="10.28515625" style="8" customWidth="1"/>
    <col min="12812" max="12812" width="14.85546875" style="8" customWidth="1"/>
    <col min="12813" max="12813" width="13.28515625" style="8" customWidth="1"/>
    <col min="12814" max="12814" width="12.5703125" style="8" customWidth="1"/>
    <col min="12815" max="12815" width="14.85546875" style="8" customWidth="1"/>
    <col min="12816" max="13054" width="9.140625" style="8"/>
    <col min="13055" max="13055" width="12.140625" style="8" customWidth="1"/>
    <col min="13056" max="13056" width="14.42578125" style="8" customWidth="1"/>
    <col min="13057" max="13057" width="16.7109375" style="8" customWidth="1"/>
    <col min="13058" max="13058" width="14.28515625" style="8" customWidth="1"/>
    <col min="13059" max="13059" width="16.140625" style="8" customWidth="1"/>
    <col min="13060" max="13060" width="11.7109375" style="8" customWidth="1"/>
    <col min="13061" max="13061" width="12.28515625" style="8" customWidth="1"/>
    <col min="13062" max="13062" width="13.28515625" style="8" customWidth="1"/>
    <col min="13063" max="13063" width="11.42578125" style="8" customWidth="1"/>
    <col min="13064" max="13064" width="76.85546875" style="8" customWidth="1"/>
    <col min="13065" max="13065" width="12.5703125" style="8" customWidth="1"/>
    <col min="13066" max="13066" width="11.7109375" style="8" customWidth="1"/>
    <col min="13067" max="13067" width="10.28515625" style="8" customWidth="1"/>
    <col min="13068" max="13068" width="14.85546875" style="8" customWidth="1"/>
    <col min="13069" max="13069" width="13.28515625" style="8" customWidth="1"/>
    <col min="13070" max="13070" width="12.5703125" style="8" customWidth="1"/>
    <col min="13071" max="13071" width="14.85546875" style="8" customWidth="1"/>
    <col min="13072" max="13310" width="9.140625" style="8"/>
    <col min="13311" max="13311" width="12.140625" style="8" customWidth="1"/>
    <col min="13312" max="13312" width="14.42578125" style="8" customWidth="1"/>
    <col min="13313" max="13313" width="16.7109375" style="8" customWidth="1"/>
    <col min="13314" max="13314" width="14.28515625" style="8" customWidth="1"/>
    <col min="13315" max="13315" width="16.140625" style="8" customWidth="1"/>
    <col min="13316" max="13316" width="11.7109375" style="8" customWidth="1"/>
    <col min="13317" max="13317" width="12.28515625" style="8" customWidth="1"/>
    <col min="13318" max="13318" width="13.28515625" style="8" customWidth="1"/>
    <col min="13319" max="13319" width="11.42578125" style="8" customWidth="1"/>
    <col min="13320" max="13320" width="76.85546875" style="8" customWidth="1"/>
    <col min="13321" max="13321" width="12.5703125" style="8" customWidth="1"/>
    <col min="13322" max="13322" width="11.7109375" style="8" customWidth="1"/>
    <col min="13323" max="13323" width="10.28515625" style="8" customWidth="1"/>
    <col min="13324" max="13324" width="14.85546875" style="8" customWidth="1"/>
    <col min="13325" max="13325" width="13.28515625" style="8" customWidth="1"/>
    <col min="13326" max="13326" width="12.5703125" style="8" customWidth="1"/>
    <col min="13327" max="13327" width="14.85546875" style="8" customWidth="1"/>
    <col min="13328" max="13566" width="9.140625" style="8"/>
    <col min="13567" max="13567" width="12.140625" style="8" customWidth="1"/>
    <col min="13568" max="13568" width="14.42578125" style="8" customWidth="1"/>
    <col min="13569" max="13569" width="16.7109375" style="8" customWidth="1"/>
    <col min="13570" max="13570" width="14.28515625" style="8" customWidth="1"/>
    <col min="13571" max="13571" width="16.140625" style="8" customWidth="1"/>
    <col min="13572" max="13572" width="11.7109375" style="8" customWidth="1"/>
    <col min="13573" max="13573" width="12.28515625" style="8" customWidth="1"/>
    <col min="13574" max="13574" width="13.28515625" style="8" customWidth="1"/>
    <col min="13575" max="13575" width="11.42578125" style="8" customWidth="1"/>
    <col min="13576" max="13576" width="76.85546875" style="8" customWidth="1"/>
    <col min="13577" max="13577" width="12.5703125" style="8" customWidth="1"/>
    <col min="13578" max="13578" width="11.7109375" style="8" customWidth="1"/>
    <col min="13579" max="13579" width="10.28515625" style="8" customWidth="1"/>
    <col min="13580" max="13580" width="14.85546875" style="8" customWidth="1"/>
    <col min="13581" max="13581" width="13.28515625" style="8" customWidth="1"/>
    <col min="13582" max="13582" width="12.5703125" style="8" customWidth="1"/>
    <col min="13583" max="13583" width="14.85546875" style="8" customWidth="1"/>
    <col min="13584" max="13822" width="9.140625" style="8"/>
    <col min="13823" max="13823" width="12.140625" style="8" customWidth="1"/>
    <col min="13824" max="13824" width="14.42578125" style="8" customWidth="1"/>
    <col min="13825" max="13825" width="16.7109375" style="8" customWidth="1"/>
    <col min="13826" max="13826" width="14.28515625" style="8" customWidth="1"/>
    <col min="13827" max="13827" width="16.140625" style="8" customWidth="1"/>
    <col min="13828" max="13828" width="11.7109375" style="8" customWidth="1"/>
    <col min="13829" max="13829" width="12.28515625" style="8" customWidth="1"/>
    <col min="13830" max="13830" width="13.28515625" style="8" customWidth="1"/>
    <col min="13831" max="13831" width="11.42578125" style="8" customWidth="1"/>
    <col min="13832" max="13832" width="76.85546875" style="8" customWidth="1"/>
    <col min="13833" max="13833" width="12.5703125" style="8" customWidth="1"/>
    <col min="13834" max="13834" width="11.7109375" style="8" customWidth="1"/>
    <col min="13835" max="13835" width="10.28515625" style="8" customWidth="1"/>
    <col min="13836" max="13836" width="14.85546875" style="8" customWidth="1"/>
    <col min="13837" max="13837" width="13.28515625" style="8" customWidth="1"/>
    <col min="13838" max="13838" width="12.5703125" style="8" customWidth="1"/>
    <col min="13839" max="13839" width="14.85546875" style="8" customWidth="1"/>
    <col min="13840" max="14078" width="9.140625" style="8"/>
    <col min="14079" max="14079" width="12.140625" style="8" customWidth="1"/>
    <col min="14080" max="14080" width="14.42578125" style="8" customWidth="1"/>
    <col min="14081" max="14081" width="16.7109375" style="8" customWidth="1"/>
    <col min="14082" max="14082" width="14.28515625" style="8" customWidth="1"/>
    <col min="14083" max="14083" width="16.140625" style="8" customWidth="1"/>
    <col min="14084" max="14084" width="11.7109375" style="8" customWidth="1"/>
    <col min="14085" max="14085" width="12.28515625" style="8" customWidth="1"/>
    <col min="14086" max="14086" width="13.28515625" style="8" customWidth="1"/>
    <col min="14087" max="14087" width="11.42578125" style="8" customWidth="1"/>
    <col min="14088" max="14088" width="76.85546875" style="8" customWidth="1"/>
    <col min="14089" max="14089" width="12.5703125" style="8" customWidth="1"/>
    <col min="14090" max="14090" width="11.7109375" style="8" customWidth="1"/>
    <col min="14091" max="14091" width="10.28515625" style="8" customWidth="1"/>
    <col min="14092" max="14092" width="14.85546875" style="8" customWidth="1"/>
    <col min="14093" max="14093" width="13.28515625" style="8" customWidth="1"/>
    <col min="14094" max="14094" width="12.5703125" style="8" customWidth="1"/>
    <col min="14095" max="14095" width="14.85546875" style="8" customWidth="1"/>
    <col min="14096" max="14334" width="9.140625" style="8"/>
    <col min="14335" max="14335" width="12.140625" style="8" customWidth="1"/>
    <col min="14336" max="14336" width="14.42578125" style="8" customWidth="1"/>
    <col min="14337" max="14337" width="16.7109375" style="8" customWidth="1"/>
    <col min="14338" max="14338" width="14.28515625" style="8" customWidth="1"/>
    <col min="14339" max="14339" width="16.140625" style="8" customWidth="1"/>
    <col min="14340" max="14340" width="11.7109375" style="8" customWidth="1"/>
    <col min="14341" max="14341" width="12.28515625" style="8" customWidth="1"/>
    <col min="14342" max="14342" width="13.28515625" style="8" customWidth="1"/>
    <col min="14343" max="14343" width="11.42578125" style="8" customWidth="1"/>
    <col min="14344" max="14344" width="76.85546875" style="8" customWidth="1"/>
    <col min="14345" max="14345" width="12.5703125" style="8" customWidth="1"/>
    <col min="14346" max="14346" width="11.7109375" style="8" customWidth="1"/>
    <col min="14347" max="14347" width="10.28515625" style="8" customWidth="1"/>
    <col min="14348" max="14348" width="14.85546875" style="8" customWidth="1"/>
    <col min="14349" max="14349" width="13.28515625" style="8" customWidth="1"/>
    <col min="14350" max="14350" width="12.5703125" style="8" customWidth="1"/>
    <col min="14351" max="14351" width="14.85546875" style="8" customWidth="1"/>
    <col min="14352" max="14590" width="9.140625" style="8"/>
    <col min="14591" max="14591" width="12.140625" style="8" customWidth="1"/>
    <col min="14592" max="14592" width="14.42578125" style="8" customWidth="1"/>
    <col min="14593" max="14593" width="16.7109375" style="8" customWidth="1"/>
    <col min="14594" max="14594" width="14.28515625" style="8" customWidth="1"/>
    <col min="14595" max="14595" width="16.140625" style="8" customWidth="1"/>
    <col min="14596" max="14596" width="11.7109375" style="8" customWidth="1"/>
    <col min="14597" max="14597" width="12.28515625" style="8" customWidth="1"/>
    <col min="14598" max="14598" width="13.28515625" style="8" customWidth="1"/>
    <col min="14599" max="14599" width="11.42578125" style="8" customWidth="1"/>
    <col min="14600" max="14600" width="76.85546875" style="8" customWidth="1"/>
    <col min="14601" max="14601" width="12.5703125" style="8" customWidth="1"/>
    <col min="14602" max="14602" width="11.7109375" style="8" customWidth="1"/>
    <col min="14603" max="14603" width="10.28515625" style="8" customWidth="1"/>
    <col min="14604" max="14604" width="14.85546875" style="8" customWidth="1"/>
    <col min="14605" max="14605" width="13.28515625" style="8" customWidth="1"/>
    <col min="14606" max="14606" width="12.5703125" style="8" customWidth="1"/>
    <col min="14607" max="14607" width="14.85546875" style="8" customWidth="1"/>
    <col min="14608" max="14846" width="9.140625" style="8"/>
    <col min="14847" max="14847" width="12.140625" style="8" customWidth="1"/>
    <col min="14848" max="14848" width="14.42578125" style="8" customWidth="1"/>
    <col min="14849" max="14849" width="16.7109375" style="8" customWidth="1"/>
    <col min="14850" max="14850" width="14.28515625" style="8" customWidth="1"/>
    <col min="14851" max="14851" width="16.140625" style="8" customWidth="1"/>
    <col min="14852" max="14852" width="11.7109375" style="8" customWidth="1"/>
    <col min="14853" max="14853" width="12.28515625" style="8" customWidth="1"/>
    <col min="14854" max="14854" width="13.28515625" style="8" customWidth="1"/>
    <col min="14855" max="14855" width="11.42578125" style="8" customWidth="1"/>
    <col min="14856" max="14856" width="76.85546875" style="8" customWidth="1"/>
    <col min="14857" max="14857" width="12.5703125" style="8" customWidth="1"/>
    <col min="14858" max="14858" width="11.7109375" style="8" customWidth="1"/>
    <col min="14859" max="14859" width="10.28515625" style="8" customWidth="1"/>
    <col min="14860" max="14860" width="14.85546875" style="8" customWidth="1"/>
    <col min="14861" max="14861" width="13.28515625" style="8" customWidth="1"/>
    <col min="14862" max="14862" width="12.5703125" style="8" customWidth="1"/>
    <col min="14863" max="14863" width="14.85546875" style="8" customWidth="1"/>
    <col min="14864" max="15102" width="9.140625" style="8"/>
    <col min="15103" max="15103" width="12.140625" style="8" customWidth="1"/>
    <col min="15104" max="15104" width="14.42578125" style="8" customWidth="1"/>
    <col min="15105" max="15105" width="16.7109375" style="8" customWidth="1"/>
    <col min="15106" max="15106" width="14.28515625" style="8" customWidth="1"/>
    <col min="15107" max="15107" width="16.140625" style="8" customWidth="1"/>
    <col min="15108" max="15108" width="11.7109375" style="8" customWidth="1"/>
    <col min="15109" max="15109" width="12.28515625" style="8" customWidth="1"/>
    <col min="15110" max="15110" width="13.28515625" style="8" customWidth="1"/>
    <col min="15111" max="15111" width="11.42578125" style="8" customWidth="1"/>
    <col min="15112" max="15112" width="76.85546875" style="8" customWidth="1"/>
    <col min="15113" max="15113" width="12.5703125" style="8" customWidth="1"/>
    <col min="15114" max="15114" width="11.7109375" style="8" customWidth="1"/>
    <col min="15115" max="15115" width="10.28515625" style="8" customWidth="1"/>
    <col min="15116" max="15116" width="14.85546875" style="8" customWidth="1"/>
    <col min="15117" max="15117" width="13.28515625" style="8" customWidth="1"/>
    <col min="15118" max="15118" width="12.5703125" style="8" customWidth="1"/>
    <col min="15119" max="15119" width="14.85546875" style="8" customWidth="1"/>
    <col min="15120" max="15358" width="9.140625" style="8"/>
    <col min="15359" max="15359" width="12.140625" style="8" customWidth="1"/>
    <col min="15360" max="15360" width="14.42578125" style="8" customWidth="1"/>
    <col min="15361" max="15361" width="16.7109375" style="8" customWidth="1"/>
    <col min="15362" max="15362" width="14.28515625" style="8" customWidth="1"/>
    <col min="15363" max="15363" width="16.140625" style="8" customWidth="1"/>
    <col min="15364" max="15364" width="11.7109375" style="8" customWidth="1"/>
    <col min="15365" max="15365" width="12.28515625" style="8" customWidth="1"/>
    <col min="15366" max="15366" width="13.28515625" style="8" customWidth="1"/>
    <col min="15367" max="15367" width="11.42578125" style="8" customWidth="1"/>
    <col min="15368" max="15368" width="76.85546875" style="8" customWidth="1"/>
    <col min="15369" max="15369" width="12.5703125" style="8" customWidth="1"/>
    <col min="15370" max="15370" width="11.7109375" style="8" customWidth="1"/>
    <col min="15371" max="15371" width="10.28515625" style="8" customWidth="1"/>
    <col min="15372" max="15372" width="14.85546875" style="8" customWidth="1"/>
    <col min="15373" max="15373" width="13.28515625" style="8" customWidth="1"/>
    <col min="15374" max="15374" width="12.5703125" style="8" customWidth="1"/>
    <col min="15375" max="15375" width="14.85546875" style="8" customWidth="1"/>
    <col min="15376" max="15614" width="9.140625" style="8"/>
    <col min="15615" max="15615" width="12.140625" style="8" customWidth="1"/>
    <col min="15616" max="15616" width="14.42578125" style="8" customWidth="1"/>
    <col min="15617" max="15617" width="16.7109375" style="8" customWidth="1"/>
    <col min="15618" max="15618" width="14.28515625" style="8" customWidth="1"/>
    <col min="15619" max="15619" width="16.140625" style="8" customWidth="1"/>
    <col min="15620" max="15620" width="11.7109375" style="8" customWidth="1"/>
    <col min="15621" max="15621" width="12.28515625" style="8" customWidth="1"/>
    <col min="15622" max="15622" width="13.28515625" style="8" customWidth="1"/>
    <col min="15623" max="15623" width="11.42578125" style="8" customWidth="1"/>
    <col min="15624" max="15624" width="76.85546875" style="8" customWidth="1"/>
    <col min="15625" max="15625" width="12.5703125" style="8" customWidth="1"/>
    <col min="15626" max="15626" width="11.7109375" style="8" customWidth="1"/>
    <col min="15627" max="15627" width="10.28515625" style="8" customWidth="1"/>
    <col min="15628" max="15628" width="14.85546875" style="8" customWidth="1"/>
    <col min="15629" max="15629" width="13.28515625" style="8" customWidth="1"/>
    <col min="15630" max="15630" width="12.5703125" style="8" customWidth="1"/>
    <col min="15631" max="15631" width="14.85546875" style="8" customWidth="1"/>
    <col min="15632" max="15870" width="9.140625" style="8"/>
    <col min="15871" max="15871" width="12.140625" style="8" customWidth="1"/>
    <col min="15872" max="15872" width="14.42578125" style="8" customWidth="1"/>
    <col min="15873" max="15873" width="16.7109375" style="8" customWidth="1"/>
    <col min="15874" max="15874" width="14.28515625" style="8" customWidth="1"/>
    <col min="15875" max="15875" width="16.140625" style="8" customWidth="1"/>
    <col min="15876" max="15876" width="11.7109375" style="8" customWidth="1"/>
    <col min="15877" max="15877" width="12.28515625" style="8" customWidth="1"/>
    <col min="15878" max="15878" width="13.28515625" style="8" customWidth="1"/>
    <col min="15879" max="15879" width="11.42578125" style="8" customWidth="1"/>
    <col min="15880" max="15880" width="76.85546875" style="8" customWidth="1"/>
    <col min="15881" max="15881" width="12.5703125" style="8" customWidth="1"/>
    <col min="15882" max="15882" width="11.7109375" style="8" customWidth="1"/>
    <col min="15883" max="15883" width="10.28515625" style="8" customWidth="1"/>
    <col min="15884" max="15884" width="14.85546875" style="8" customWidth="1"/>
    <col min="15885" max="15885" width="13.28515625" style="8" customWidth="1"/>
    <col min="15886" max="15886" width="12.5703125" style="8" customWidth="1"/>
    <col min="15887" max="15887" width="14.85546875" style="8" customWidth="1"/>
    <col min="15888" max="16126" width="9.140625" style="8"/>
    <col min="16127" max="16127" width="12.140625" style="8" customWidth="1"/>
    <col min="16128" max="16128" width="14.42578125" style="8" customWidth="1"/>
    <col min="16129" max="16129" width="16.7109375" style="8" customWidth="1"/>
    <col min="16130" max="16130" width="14.28515625" style="8" customWidth="1"/>
    <col min="16131" max="16131" width="16.140625" style="8" customWidth="1"/>
    <col min="16132" max="16132" width="11.7109375" style="8" customWidth="1"/>
    <col min="16133" max="16133" width="12.28515625" style="8" customWidth="1"/>
    <col min="16134" max="16134" width="13.28515625" style="8" customWidth="1"/>
    <col min="16135" max="16135" width="11.42578125" style="8" customWidth="1"/>
    <col min="16136" max="16136" width="76.85546875" style="8" customWidth="1"/>
    <col min="16137" max="16137" width="12.5703125" style="8" customWidth="1"/>
    <col min="16138" max="16138" width="11.7109375" style="8" customWidth="1"/>
    <col min="16139" max="16139" width="10.28515625" style="8" customWidth="1"/>
    <col min="16140" max="16140" width="14.85546875" style="8" customWidth="1"/>
    <col min="16141" max="16141" width="13.28515625" style="8" customWidth="1"/>
    <col min="16142" max="16142" width="12.5703125" style="8" customWidth="1"/>
    <col min="16143" max="16143" width="14.85546875" style="8" customWidth="1"/>
    <col min="16144" max="16384" width="9.140625" style="8"/>
  </cols>
  <sheetData>
    <row r="1" spans="1:15" s="1" customFormat="1" ht="15.75" x14ac:dyDescent="0.25">
      <c r="A1" s="2" t="s">
        <v>93</v>
      </c>
      <c r="G1" s="104" t="s">
        <v>7</v>
      </c>
    </row>
    <row r="2" spans="1:15" s="1" customFormat="1" ht="15" x14ac:dyDescent="0.2">
      <c r="A2" s="1" t="s">
        <v>193</v>
      </c>
      <c r="C2" s="104" t="s">
        <v>202</v>
      </c>
      <c r="G2" s="52" t="s">
        <v>8</v>
      </c>
    </row>
    <row r="3" spans="1:15" s="19" customFormat="1" ht="17.25" customHeight="1" x14ac:dyDescent="0.2">
      <c r="A3" s="19" t="s">
        <v>45</v>
      </c>
      <c r="C3" s="104" t="s">
        <v>203</v>
      </c>
      <c r="E3" s="20"/>
    </row>
    <row r="4" spans="1:15" s="19" customFormat="1" ht="15.75" x14ac:dyDescent="0.25">
      <c r="A4" s="21" t="s">
        <v>46</v>
      </c>
      <c r="B4" s="21"/>
      <c r="E4" s="420"/>
      <c r="F4" s="420"/>
    </row>
    <row r="5" spans="1:15" s="19" customFormat="1" ht="12.75" x14ac:dyDescent="0.2">
      <c r="D5" s="53"/>
      <c r="E5" s="103">
        <v>46022</v>
      </c>
      <c r="F5" s="103">
        <v>45657</v>
      </c>
      <c r="G5" s="103">
        <v>45291</v>
      </c>
      <c r="H5" s="22"/>
      <c r="I5" s="22"/>
      <c r="J5" s="22"/>
      <c r="K5" s="22"/>
      <c r="L5" s="22"/>
      <c r="M5" s="22"/>
      <c r="N5" s="22"/>
      <c r="O5" s="22"/>
    </row>
    <row r="6" spans="1:15" s="19" customFormat="1" x14ac:dyDescent="0.2">
      <c r="A6" s="7" t="s">
        <v>47</v>
      </c>
      <c r="B6" s="7"/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s="19" customFormat="1" ht="12.75" x14ac:dyDescent="0.2">
      <c r="A7" s="25" t="s">
        <v>48</v>
      </c>
      <c r="B7" s="25"/>
      <c r="C7" s="26"/>
      <c r="D7" s="25"/>
      <c r="E7" s="27">
        <f>SUM(E8:E14)</f>
        <v>199517</v>
      </c>
      <c r="F7" s="27">
        <f>SUM(F8:F14)</f>
        <v>158892</v>
      </c>
      <c r="G7" s="27">
        <f>SUM(G8:G14)</f>
        <v>136886</v>
      </c>
      <c r="H7" s="28"/>
      <c r="I7" s="28"/>
      <c r="J7" s="28"/>
      <c r="K7" s="28"/>
      <c r="L7" s="28"/>
      <c r="M7" s="28"/>
      <c r="N7" s="28"/>
      <c r="O7" s="28"/>
    </row>
    <row r="8" spans="1:15" s="18" customFormat="1" ht="12.75" x14ac:dyDescent="0.2">
      <c r="A8" s="18" t="s">
        <v>49</v>
      </c>
      <c r="E8" s="106">
        <v>173805</v>
      </c>
      <c r="F8" s="106">
        <v>119413</v>
      </c>
      <c r="G8" s="106">
        <v>94029</v>
      </c>
      <c r="H8" s="29"/>
      <c r="I8" s="29"/>
      <c r="J8" s="29"/>
      <c r="K8" s="29"/>
      <c r="L8" s="29"/>
      <c r="M8" s="29"/>
      <c r="N8" s="29"/>
      <c r="O8" s="29"/>
    </row>
    <row r="9" spans="1:15" s="18" customFormat="1" ht="12.75" x14ac:dyDescent="0.2">
      <c r="A9" s="18" t="s">
        <v>50</v>
      </c>
      <c r="E9" s="106"/>
      <c r="F9" s="106"/>
      <c r="G9" s="106"/>
      <c r="H9" s="29"/>
      <c r="I9" s="29"/>
      <c r="J9" s="29"/>
      <c r="K9" s="29"/>
      <c r="L9" s="29"/>
      <c r="M9" s="29"/>
      <c r="N9" s="29"/>
      <c r="O9" s="29"/>
    </row>
    <row r="10" spans="1:15" s="18" customFormat="1" ht="12.75" x14ac:dyDescent="0.2">
      <c r="A10" s="18" t="s">
        <v>310</v>
      </c>
      <c r="E10" s="106"/>
      <c r="F10" s="106"/>
      <c r="G10" s="106"/>
      <c r="H10" s="29"/>
      <c r="I10" s="29"/>
      <c r="J10" s="29"/>
      <c r="K10" s="29"/>
      <c r="L10" s="29"/>
      <c r="M10" s="29"/>
      <c r="N10" s="29"/>
      <c r="O10" s="29"/>
    </row>
    <row r="11" spans="1:15" s="18" customFormat="1" ht="12.75" x14ac:dyDescent="0.2">
      <c r="A11" s="38" t="s">
        <v>51</v>
      </c>
      <c r="E11" s="106"/>
      <c r="F11" s="106"/>
      <c r="G11" s="106"/>
      <c r="H11" s="29"/>
      <c r="I11" s="29"/>
      <c r="J11" s="29"/>
      <c r="K11" s="29"/>
      <c r="L11" s="29"/>
      <c r="M11" s="29"/>
      <c r="N11" s="29"/>
      <c r="O11" s="29"/>
    </row>
    <row r="12" spans="1:15" s="18" customFormat="1" ht="12.75" x14ac:dyDescent="0.2">
      <c r="A12" s="18" t="s">
        <v>52</v>
      </c>
      <c r="E12" s="106">
        <v>900</v>
      </c>
      <c r="F12" s="106">
        <v>812</v>
      </c>
      <c r="G12" s="106">
        <v>822</v>
      </c>
      <c r="H12" s="29"/>
      <c r="I12" s="29"/>
      <c r="J12" s="29"/>
      <c r="K12" s="29"/>
      <c r="L12" s="29"/>
      <c r="M12" s="29"/>
      <c r="N12" s="29"/>
      <c r="O12" s="29"/>
    </row>
    <row r="13" spans="1:15" s="18" customFormat="1" ht="12.75" x14ac:dyDescent="0.2">
      <c r="A13" s="18" t="s">
        <v>311</v>
      </c>
      <c r="E13" s="106">
        <v>6642</v>
      </c>
      <c r="F13" s="106">
        <v>5504</v>
      </c>
      <c r="G13" s="106">
        <v>2382</v>
      </c>
      <c r="H13" s="29"/>
      <c r="I13" s="29"/>
      <c r="J13" s="29"/>
      <c r="K13" s="29"/>
      <c r="L13" s="29"/>
      <c r="M13" s="29"/>
      <c r="N13" s="29"/>
      <c r="O13" s="29"/>
    </row>
    <row r="14" spans="1:15" s="18" customFormat="1" ht="12.75" x14ac:dyDescent="0.2">
      <c r="A14" s="18" t="s">
        <v>53</v>
      </c>
      <c r="E14" s="105">
        <f>18170</f>
        <v>18170</v>
      </c>
      <c r="F14" s="105">
        <v>33163</v>
      </c>
      <c r="G14" s="105">
        <v>39653</v>
      </c>
      <c r="H14" s="29"/>
      <c r="I14" s="29"/>
      <c r="J14" s="29"/>
      <c r="K14" s="29"/>
      <c r="L14" s="29"/>
      <c r="M14" s="29"/>
      <c r="N14" s="29"/>
      <c r="O14" s="29"/>
    </row>
    <row r="15" spans="1:15" s="19" customFormat="1" ht="12.75" x14ac:dyDescent="0.2">
      <c r="A15" s="30" t="s">
        <v>54</v>
      </c>
      <c r="B15" s="30"/>
      <c r="C15" s="25"/>
      <c r="D15" s="25"/>
      <c r="E15" s="27">
        <f>SUM(E16:E18,E20:E22)</f>
        <v>2935952</v>
      </c>
      <c r="F15" s="27">
        <f>SUM(F16:F18,F20:F22)</f>
        <v>2661200</v>
      </c>
      <c r="G15" s="27">
        <f>SUM(G16:G18,G20:G22)</f>
        <v>1806482</v>
      </c>
      <c r="H15" s="28"/>
      <c r="I15" s="28"/>
      <c r="J15" s="28"/>
      <c r="K15" s="28"/>
      <c r="L15" s="28"/>
      <c r="M15" s="28"/>
      <c r="N15" s="28"/>
      <c r="O15" s="28"/>
    </row>
    <row r="16" spans="1:15" s="19" customFormat="1" ht="12.75" x14ac:dyDescent="0.2">
      <c r="A16" s="31" t="s">
        <v>55</v>
      </c>
      <c r="B16" s="31"/>
      <c r="C16" s="32"/>
      <c r="D16" s="18"/>
      <c r="E16" s="106">
        <v>210093</v>
      </c>
      <c r="F16" s="106">
        <v>96119</v>
      </c>
      <c r="G16" s="106">
        <v>44876</v>
      </c>
      <c r="H16" s="29"/>
      <c r="I16" s="29"/>
      <c r="J16" s="29"/>
      <c r="K16" s="29"/>
      <c r="L16" s="29"/>
      <c r="M16" s="29"/>
      <c r="N16" s="29"/>
      <c r="O16" s="29"/>
    </row>
    <row r="17" spans="1:15" s="19" customFormat="1" ht="12.75" x14ac:dyDescent="0.2">
      <c r="A17" s="31" t="s">
        <v>56</v>
      </c>
      <c r="B17" s="31"/>
      <c r="C17" s="32"/>
      <c r="D17" s="18"/>
      <c r="E17" s="106">
        <v>0</v>
      </c>
      <c r="F17" s="106">
        <v>15000</v>
      </c>
      <c r="G17" s="106">
        <v>75905</v>
      </c>
      <c r="H17" s="29"/>
      <c r="I17" s="29"/>
      <c r="J17" s="29"/>
      <c r="K17" s="29"/>
      <c r="L17" s="29"/>
      <c r="M17" s="29"/>
      <c r="N17" s="29"/>
      <c r="O17" s="29"/>
    </row>
    <row r="18" spans="1:15" s="19" customFormat="1" ht="12.75" x14ac:dyDescent="0.2">
      <c r="A18" s="31" t="s">
        <v>57</v>
      </c>
      <c r="B18" s="31"/>
      <c r="C18" s="18"/>
      <c r="D18" s="18"/>
      <c r="E18" s="203">
        <v>1354059</v>
      </c>
      <c r="F18" s="203">
        <v>1470512</v>
      </c>
      <c r="G18" s="203">
        <v>732868</v>
      </c>
      <c r="H18" s="33"/>
      <c r="I18" s="33"/>
      <c r="J18" s="33"/>
      <c r="K18" s="33"/>
      <c r="L18" s="33"/>
      <c r="M18" s="33"/>
      <c r="N18" s="33"/>
      <c r="O18" s="33"/>
    </row>
    <row r="19" spans="1:15" s="35" customFormat="1" ht="12.75" x14ac:dyDescent="0.2">
      <c r="A19" s="37" t="s">
        <v>58</v>
      </c>
      <c r="B19" s="37"/>
      <c r="E19" s="204"/>
      <c r="F19" s="204"/>
      <c r="G19" s="204"/>
      <c r="H19" s="36"/>
      <c r="I19" s="36"/>
      <c r="J19" s="36"/>
      <c r="K19" s="36"/>
      <c r="L19" s="36"/>
      <c r="M19" s="36"/>
      <c r="N19" s="36"/>
      <c r="O19" s="36"/>
    </row>
    <row r="20" spans="1:15" s="19" customFormat="1" ht="12.75" x14ac:dyDescent="0.2">
      <c r="A20" s="31" t="s">
        <v>59</v>
      </c>
      <c r="B20" s="31"/>
      <c r="C20" s="32"/>
      <c r="D20" s="18"/>
      <c r="E20" s="205">
        <v>1351289</v>
      </c>
      <c r="F20" s="203">
        <v>1061615</v>
      </c>
      <c r="G20" s="203">
        <v>932045</v>
      </c>
      <c r="H20" s="33"/>
      <c r="I20" s="33"/>
      <c r="J20" s="33"/>
      <c r="K20" s="33"/>
      <c r="L20" s="33"/>
      <c r="M20" s="33"/>
      <c r="N20" s="33"/>
      <c r="O20" s="33"/>
    </row>
    <row r="21" spans="1:15" s="18" customFormat="1" ht="12.75" x14ac:dyDescent="0.2">
      <c r="A21" s="18" t="s">
        <v>312</v>
      </c>
      <c r="B21" s="31"/>
      <c r="C21" s="32"/>
      <c r="E21" s="205">
        <v>7</v>
      </c>
      <c r="F21" s="203">
        <v>0</v>
      </c>
      <c r="G21" s="203">
        <v>0</v>
      </c>
      <c r="H21" s="33"/>
      <c r="I21" s="33"/>
      <c r="J21" s="33"/>
      <c r="K21" s="33"/>
      <c r="L21" s="33"/>
      <c r="M21" s="33"/>
      <c r="N21" s="33"/>
      <c r="O21" s="33"/>
    </row>
    <row r="22" spans="1:15" s="19" customFormat="1" ht="12.75" x14ac:dyDescent="0.2">
      <c r="A22" s="31" t="s">
        <v>60</v>
      </c>
      <c r="B22" s="31"/>
      <c r="C22" s="32"/>
      <c r="D22" s="18"/>
      <c r="E22" s="106">
        <v>20504</v>
      </c>
      <c r="F22" s="106">
        <v>17954</v>
      </c>
      <c r="G22" s="106">
        <v>20788</v>
      </c>
      <c r="H22" s="29"/>
      <c r="I22" s="29"/>
      <c r="J22" s="29"/>
      <c r="K22" s="29"/>
      <c r="L22" s="29"/>
      <c r="M22" s="29"/>
      <c r="N22" s="29"/>
      <c r="O22" s="29"/>
    </row>
    <row r="23" spans="1:15" s="19" customFormat="1" ht="12.75" x14ac:dyDescent="0.2">
      <c r="A23" s="30" t="s">
        <v>61</v>
      </c>
      <c r="B23" s="30"/>
      <c r="C23" s="25"/>
      <c r="D23" s="25"/>
      <c r="E23" s="27">
        <f>E7+E15</f>
        <v>3135469</v>
      </c>
      <c r="F23" s="27">
        <f>F7+F15</f>
        <v>2820092</v>
      </c>
      <c r="G23" s="27">
        <f>G7+G15</f>
        <v>1943368</v>
      </c>
      <c r="H23" s="28"/>
      <c r="I23" s="28"/>
      <c r="J23" s="28"/>
      <c r="K23" s="28"/>
      <c r="L23" s="28"/>
      <c r="M23" s="28"/>
      <c r="N23" s="28"/>
      <c r="O23" s="28"/>
    </row>
    <row r="24" spans="1:15" s="19" customFormat="1" x14ac:dyDescent="0.2">
      <c r="A24" s="7" t="s">
        <v>62</v>
      </c>
      <c r="B24" s="7"/>
      <c r="E24" s="38"/>
      <c r="F24" s="39"/>
      <c r="G24" s="39"/>
      <c r="H24" s="40"/>
      <c r="I24" s="40"/>
      <c r="J24" s="40"/>
      <c r="K24" s="40"/>
      <c r="L24" s="40"/>
      <c r="M24" s="40"/>
      <c r="N24" s="40"/>
      <c r="O24" s="40"/>
    </row>
    <row r="25" spans="1:15" s="19" customFormat="1" ht="12.75" x14ac:dyDescent="0.2">
      <c r="A25" s="25" t="s">
        <v>63</v>
      </c>
      <c r="B25" s="25"/>
      <c r="C25" s="26"/>
      <c r="D25" s="25"/>
      <c r="E25" s="27">
        <f>SUM(E26:E32)</f>
        <v>2210804</v>
      </c>
      <c r="F25" s="27">
        <f>SUM(F26:F32)</f>
        <v>1899362</v>
      </c>
      <c r="G25" s="27">
        <f>SUM(G26:G32)</f>
        <v>1345353</v>
      </c>
      <c r="H25" s="28"/>
      <c r="I25" s="28"/>
      <c r="J25" s="28"/>
      <c r="K25" s="28"/>
      <c r="L25" s="28"/>
      <c r="M25" s="28"/>
      <c r="N25" s="28"/>
      <c r="O25" s="28"/>
    </row>
    <row r="26" spans="1:15" s="19" customFormat="1" ht="13.5" customHeight="1" x14ac:dyDescent="0.2">
      <c r="A26" s="19" t="s">
        <v>64</v>
      </c>
      <c r="E26" s="106">
        <v>19896</v>
      </c>
      <c r="F26" s="106">
        <v>19896</v>
      </c>
      <c r="G26" s="106">
        <v>19896</v>
      </c>
      <c r="H26" s="29"/>
      <c r="I26" s="29"/>
      <c r="J26" s="29"/>
      <c r="K26" s="29"/>
      <c r="L26" s="29"/>
      <c r="M26" s="29"/>
      <c r="N26" s="29"/>
      <c r="O26" s="29"/>
    </row>
    <row r="27" spans="1:15" s="19" customFormat="1" ht="13.5" customHeight="1" x14ac:dyDescent="0.2">
      <c r="A27" s="19" t="s">
        <v>322</v>
      </c>
      <c r="E27" s="106"/>
      <c r="F27" s="106"/>
      <c r="G27" s="106"/>
      <c r="H27" s="29"/>
      <c r="I27" s="29"/>
      <c r="J27" s="29"/>
      <c r="K27" s="29"/>
      <c r="L27" s="29"/>
      <c r="M27" s="29"/>
      <c r="N27" s="29"/>
      <c r="O27" s="29"/>
    </row>
    <row r="28" spans="1:15" s="19" customFormat="1" ht="12.75" x14ac:dyDescent="0.2">
      <c r="A28" s="244" t="s">
        <v>318</v>
      </c>
      <c r="E28" s="106">
        <v>20729</v>
      </c>
      <c r="F28" s="106">
        <v>86449</v>
      </c>
      <c r="G28" s="106">
        <v>86449</v>
      </c>
      <c r="H28" s="29"/>
      <c r="I28" s="29"/>
      <c r="J28" s="29"/>
      <c r="K28" s="29"/>
      <c r="L28" s="41"/>
      <c r="M28" s="41"/>
      <c r="N28" s="29"/>
      <c r="O28" s="41"/>
    </row>
    <row r="29" spans="1:15" s="19" customFormat="1" ht="12.75" x14ac:dyDescent="0.2">
      <c r="A29" s="19" t="s">
        <v>67</v>
      </c>
      <c r="E29" s="106">
        <v>995</v>
      </c>
      <c r="F29" s="106">
        <v>995</v>
      </c>
      <c r="G29" s="106">
        <v>995</v>
      </c>
      <c r="H29" s="29"/>
      <c r="I29" s="41"/>
      <c r="J29" s="41"/>
      <c r="K29" s="41"/>
      <c r="L29" s="41"/>
      <c r="M29" s="41"/>
      <c r="N29" s="41"/>
      <c r="O29" s="41"/>
    </row>
    <row r="30" spans="1:15" s="19" customFormat="1" ht="12.75" x14ac:dyDescent="0.2">
      <c r="A30" s="19" t="s">
        <v>65</v>
      </c>
      <c r="E30" s="106">
        <v>33333</v>
      </c>
      <c r="F30" s="106">
        <v>33333</v>
      </c>
      <c r="G30" s="106">
        <v>33333</v>
      </c>
      <c r="H30" s="29"/>
      <c r="I30" s="29"/>
      <c r="J30" s="29"/>
      <c r="K30" s="29"/>
      <c r="L30" s="29"/>
      <c r="M30" s="29"/>
      <c r="N30" s="29"/>
      <c r="O30" s="29"/>
    </row>
    <row r="31" spans="1:15" s="19" customFormat="1" ht="12.75" x14ac:dyDescent="0.2">
      <c r="A31" s="19" t="s">
        <v>66</v>
      </c>
      <c r="E31" s="106">
        <v>2135851</v>
      </c>
      <c r="F31" s="106">
        <v>1758689</v>
      </c>
      <c r="G31" s="106">
        <v>1204680</v>
      </c>
      <c r="H31" s="29"/>
      <c r="I31" s="41"/>
      <c r="J31" s="41"/>
      <c r="K31" s="41"/>
      <c r="L31" s="41"/>
      <c r="M31" s="41"/>
      <c r="N31" s="41"/>
      <c r="O31" s="41"/>
    </row>
    <row r="32" spans="1:15" s="19" customFormat="1" ht="12.75" x14ac:dyDescent="0.2">
      <c r="A32" s="244" t="s">
        <v>321</v>
      </c>
      <c r="E32" s="106"/>
      <c r="F32" s="106"/>
      <c r="G32" s="106"/>
      <c r="H32" s="29"/>
      <c r="I32" s="41"/>
      <c r="J32" s="41"/>
      <c r="K32" s="41"/>
      <c r="L32" s="41"/>
      <c r="M32" s="41"/>
      <c r="N32" s="41"/>
      <c r="O32" s="41"/>
    </row>
    <row r="33" spans="1:15" s="19" customFormat="1" ht="12.75" x14ac:dyDescent="0.2">
      <c r="A33" s="25" t="s">
        <v>68</v>
      </c>
      <c r="B33" s="25"/>
      <c r="C33" s="25"/>
      <c r="D33" s="25"/>
      <c r="E33" s="27">
        <f>SUM(E34:E39)</f>
        <v>4010</v>
      </c>
      <c r="F33" s="27">
        <f>SUM(F34:F39)</f>
        <v>7556</v>
      </c>
      <c r="G33" s="27">
        <f>SUM(G34:G39)</f>
        <v>7277</v>
      </c>
      <c r="H33" s="28"/>
      <c r="I33" s="28"/>
      <c r="J33" s="28"/>
      <c r="K33" s="28"/>
      <c r="L33" s="28"/>
      <c r="M33" s="28"/>
      <c r="N33" s="28"/>
      <c r="O33" s="28"/>
    </row>
    <row r="34" spans="1:15" s="19" customFormat="1" ht="12.75" x14ac:dyDescent="0.2">
      <c r="A34" s="18" t="s">
        <v>324</v>
      </c>
      <c r="B34" s="18"/>
      <c r="C34" s="32"/>
      <c r="D34" s="18"/>
      <c r="E34" s="106"/>
      <c r="F34" s="106"/>
      <c r="G34" s="106"/>
      <c r="H34" s="29"/>
      <c r="I34" s="29"/>
      <c r="J34" s="29"/>
      <c r="K34" s="29"/>
      <c r="L34" s="29"/>
      <c r="M34" s="29"/>
      <c r="N34" s="29"/>
      <c r="O34" s="29"/>
    </row>
    <row r="35" spans="1:15" s="19" customFormat="1" ht="12.75" x14ac:dyDescent="0.2">
      <c r="A35" s="18" t="s">
        <v>69</v>
      </c>
      <c r="B35" s="18"/>
      <c r="C35" s="32"/>
      <c r="D35" s="18"/>
      <c r="E35" s="106"/>
      <c r="F35" s="106"/>
      <c r="G35" s="106"/>
      <c r="H35" s="29"/>
      <c r="I35" s="29"/>
      <c r="J35" s="29"/>
      <c r="K35" s="29"/>
      <c r="L35" s="29"/>
      <c r="M35" s="29"/>
      <c r="N35" s="29"/>
      <c r="O35" s="29"/>
    </row>
    <row r="36" spans="1:15" s="18" customFormat="1" ht="12.75" x14ac:dyDescent="0.2">
      <c r="A36" s="18" t="s">
        <v>323</v>
      </c>
      <c r="C36" s="32"/>
      <c r="E36" s="106">
        <v>4010</v>
      </c>
      <c r="F36" s="106">
        <v>7556</v>
      </c>
      <c r="G36" s="106">
        <v>7277</v>
      </c>
      <c r="H36" s="29"/>
      <c r="I36" s="29"/>
      <c r="J36" s="29"/>
      <c r="K36" s="29"/>
      <c r="L36" s="29"/>
      <c r="M36" s="29"/>
      <c r="N36" s="29"/>
      <c r="O36" s="29"/>
    </row>
    <row r="37" spans="1:15" s="18" customFormat="1" ht="12.75" x14ac:dyDescent="0.2">
      <c r="A37" s="18" t="s">
        <v>70</v>
      </c>
      <c r="E37" s="106"/>
      <c r="F37" s="106"/>
      <c r="G37" s="106"/>
      <c r="H37" s="29"/>
      <c r="I37" s="29"/>
      <c r="J37" s="29"/>
      <c r="K37" s="29"/>
      <c r="L37" s="29"/>
      <c r="M37" s="29"/>
      <c r="N37" s="29"/>
      <c r="O37" s="29"/>
    </row>
    <row r="38" spans="1:15" s="35" customFormat="1" ht="12.75" x14ac:dyDescent="0.2">
      <c r="A38" s="18" t="s">
        <v>73</v>
      </c>
      <c r="C38" s="54"/>
      <c r="E38" s="204"/>
      <c r="F38" s="204"/>
      <c r="G38" s="204"/>
      <c r="H38" s="36"/>
      <c r="I38" s="36"/>
      <c r="J38" s="36"/>
      <c r="K38" s="36"/>
      <c r="L38" s="36"/>
      <c r="M38" s="36"/>
      <c r="N38" s="36"/>
      <c r="O38" s="36"/>
    </row>
    <row r="39" spans="1:15" s="18" customFormat="1" ht="13.5" customHeight="1" x14ac:dyDescent="0.2">
      <c r="A39" s="18" t="s">
        <v>71</v>
      </c>
      <c r="E39" s="106"/>
      <c r="F39" s="106"/>
      <c r="G39" s="106"/>
      <c r="H39" s="29"/>
      <c r="I39" s="29"/>
      <c r="J39" s="29"/>
      <c r="K39" s="29"/>
      <c r="L39" s="29"/>
      <c r="M39" s="29"/>
      <c r="N39" s="29"/>
      <c r="O39" s="29"/>
    </row>
    <row r="40" spans="1:15" s="19" customFormat="1" ht="12.75" x14ac:dyDescent="0.2">
      <c r="A40" s="25" t="s">
        <v>72</v>
      </c>
      <c r="B40" s="25"/>
      <c r="C40" s="25"/>
      <c r="D40" s="25"/>
      <c r="E40" s="27">
        <f>SUM(E41:E47)</f>
        <v>920655</v>
      </c>
      <c r="F40" s="27">
        <f>SUM(F41:F47)</f>
        <v>913174</v>
      </c>
      <c r="G40" s="27">
        <f>SUM(G41:G47)</f>
        <v>590738</v>
      </c>
      <c r="H40" s="28"/>
      <c r="I40" s="28"/>
      <c r="J40" s="28"/>
      <c r="K40" s="28"/>
      <c r="L40" s="28"/>
      <c r="M40" s="28"/>
      <c r="N40" s="28"/>
      <c r="O40" s="28"/>
    </row>
    <row r="41" spans="1:15" s="18" customFormat="1" ht="12.75" x14ac:dyDescent="0.2">
      <c r="A41" s="18" t="s">
        <v>324</v>
      </c>
      <c r="E41" s="106">
        <v>163319</v>
      </c>
      <c r="F41" s="106">
        <v>174456</v>
      </c>
      <c r="G41" s="106">
        <v>78924</v>
      </c>
      <c r="H41" s="29"/>
      <c r="I41" s="29"/>
      <c r="J41" s="29"/>
      <c r="K41" s="29"/>
      <c r="L41" s="29"/>
      <c r="M41" s="29"/>
      <c r="N41" s="29"/>
      <c r="O41" s="29"/>
    </row>
    <row r="42" spans="1:15" s="18" customFormat="1" ht="12.75" x14ac:dyDescent="0.2">
      <c r="A42" s="18" t="s">
        <v>73</v>
      </c>
      <c r="E42" s="106">
        <v>730781</v>
      </c>
      <c r="F42" s="106">
        <v>717927</v>
      </c>
      <c r="G42" s="106">
        <v>501764</v>
      </c>
      <c r="H42" s="29"/>
      <c r="I42" s="29"/>
      <c r="J42" s="29"/>
      <c r="K42" s="29"/>
      <c r="L42" s="29"/>
      <c r="M42" s="29"/>
      <c r="N42" s="29"/>
      <c r="O42" s="29"/>
    </row>
    <row r="43" spans="1:15" s="18" customFormat="1" ht="12.75" x14ac:dyDescent="0.2">
      <c r="A43" s="18" t="s">
        <v>74</v>
      </c>
      <c r="E43" s="106"/>
      <c r="F43" s="106"/>
      <c r="G43" s="106"/>
      <c r="H43" s="29"/>
      <c r="I43" s="29"/>
      <c r="J43" s="29"/>
      <c r="K43" s="29"/>
      <c r="L43" s="29"/>
      <c r="M43" s="29"/>
      <c r="N43" s="29"/>
      <c r="O43" s="29"/>
    </row>
    <row r="44" spans="1:15" s="18" customFormat="1" ht="12.75" x14ac:dyDescent="0.2">
      <c r="A44" s="18" t="s">
        <v>75</v>
      </c>
      <c r="E44" s="106"/>
      <c r="F44" s="106"/>
      <c r="G44" s="106"/>
      <c r="H44" s="29"/>
      <c r="I44" s="29"/>
      <c r="J44" s="29"/>
      <c r="K44" s="29"/>
      <c r="L44" s="29"/>
      <c r="M44" s="29"/>
      <c r="N44" s="29"/>
      <c r="O44" s="29"/>
    </row>
    <row r="45" spans="1:15" s="18" customFormat="1" ht="12.75" x14ac:dyDescent="0.2">
      <c r="A45" s="18" t="s">
        <v>323</v>
      </c>
      <c r="E45" s="106"/>
      <c r="F45" s="106"/>
      <c r="G45" s="106"/>
      <c r="H45" s="29"/>
      <c r="I45" s="29"/>
      <c r="J45" s="29"/>
      <c r="K45" s="29"/>
      <c r="L45" s="29"/>
      <c r="M45" s="29"/>
      <c r="N45" s="29"/>
      <c r="O45" s="29"/>
    </row>
    <row r="46" spans="1:15" s="18" customFormat="1" ht="13.5" customHeight="1" x14ac:dyDescent="0.2">
      <c r="A46" s="18" t="s">
        <v>70</v>
      </c>
      <c r="E46" s="106">
        <v>25909</v>
      </c>
      <c r="F46" s="106">
        <v>20791</v>
      </c>
      <c r="G46" s="106">
        <v>10050</v>
      </c>
      <c r="H46" s="29"/>
      <c r="I46" s="29"/>
      <c r="J46" s="29"/>
      <c r="K46" s="29"/>
      <c r="L46" s="29"/>
      <c r="M46" s="29"/>
      <c r="N46" s="29"/>
      <c r="O46" s="29"/>
    </row>
    <row r="47" spans="1:15" s="18" customFormat="1" ht="13.5" customHeight="1" x14ac:dyDescent="0.2">
      <c r="A47" s="18" t="s">
        <v>76</v>
      </c>
      <c r="E47" s="106">
        <v>646</v>
      </c>
      <c r="F47" s="106"/>
      <c r="G47" s="106"/>
      <c r="H47" s="29"/>
      <c r="I47" s="29"/>
      <c r="J47" s="29"/>
      <c r="K47" s="29"/>
      <c r="L47" s="29"/>
      <c r="M47" s="29"/>
      <c r="N47" s="29"/>
      <c r="O47" s="29"/>
    </row>
    <row r="48" spans="1:15" s="55" customFormat="1" ht="13.5" customHeight="1" x14ac:dyDescent="0.2">
      <c r="A48" s="35" t="s">
        <v>77</v>
      </c>
      <c r="B48" s="37"/>
      <c r="E48" s="204">
        <v>646</v>
      </c>
      <c r="F48" s="204"/>
      <c r="G48" s="204"/>
      <c r="H48" s="36"/>
      <c r="I48" s="36"/>
      <c r="J48" s="36"/>
      <c r="K48" s="36"/>
      <c r="L48" s="36"/>
      <c r="M48" s="36"/>
      <c r="N48" s="36"/>
      <c r="O48" s="36"/>
    </row>
    <row r="49" spans="1:15" s="19" customFormat="1" ht="12.75" x14ac:dyDescent="0.2">
      <c r="A49" s="30" t="s">
        <v>78</v>
      </c>
      <c r="B49" s="30"/>
      <c r="C49" s="25"/>
      <c r="D49" s="25"/>
      <c r="E49" s="27">
        <f>E25+E33+E40</f>
        <v>3135469</v>
      </c>
      <c r="F49" s="27">
        <f>F25+F33+F40</f>
        <v>2820092</v>
      </c>
      <c r="G49" s="27">
        <f>G25+G33+G40</f>
        <v>1943368</v>
      </c>
      <c r="H49" s="28"/>
      <c r="I49" s="28"/>
      <c r="J49" s="28"/>
      <c r="K49" s="28"/>
      <c r="L49" s="28"/>
      <c r="M49" s="28"/>
      <c r="N49" s="28"/>
      <c r="O49" s="28"/>
    </row>
    <row r="50" spans="1:15" s="18" customFormat="1" ht="12.75" x14ac:dyDescent="0.2">
      <c r="A50" s="42"/>
      <c r="B50" s="32"/>
      <c r="C50" s="32"/>
      <c r="D50" s="32"/>
      <c r="E50" s="43">
        <f>E23-E49</f>
        <v>0</v>
      </c>
      <c r="F50" s="43">
        <f>F23-F49</f>
        <v>0</v>
      </c>
      <c r="G50" s="43">
        <f>G23-G49</f>
        <v>0</v>
      </c>
      <c r="H50" s="28"/>
      <c r="I50" s="28"/>
      <c r="J50" s="28"/>
      <c r="K50" s="28"/>
      <c r="L50" s="28"/>
      <c r="M50" s="28"/>
      <c r="N50" s="28"/>
      <c r="O50" s="28"/>
    </row>
    <row r="51" spans="1:15" s="19" customFormat="1" ht="15.75" x14ac:dyDescent="0.25">
      <c r="A51" s="21" t="s">
        <v>79</v>
      </c>
      <c r="B51" s="21"/>
      <c r="E51" s="44"/>
      <c r="F51" s="45"/>
      <c r="G51" s="45"/>
      <c r="H51" s="28"/>
      <c r="I51" s="28"/>
      <c r="J51" s="28"/>
      <c r="K51" s="28"/>
      <c r="L51" s="28"/>
      <c r="M51" s="28"/>
      <c r="N51" s="28"/>
      <c r="O51" s="28"/>
    </row>
    <row r="52" spans="1:15" s="19" customFormat="1" ht="12.75" x14ac:dyDescent="0.2">
      <c r="E52" s="17">
        <f>E5</f>
        <v>46022</v>
      </c>
      <c r="F52" s="17">
        <f>F5</f>
        <v>45657</v>
      </c>
      <c r="G52" s="17">
        <f>G5</f>
        <v>45291</v>
      </c>
      <c r="H52" s="28"/>
      <c r="I52" s="28"/>
      <c r="J52" s="28"/>
      <c r="K52" s="28"/>
      <c r="L52" s="28"/>
      <c r="M52" s="28"/>
      <c r="N52" s="28"/>
      <c r="O52" s="28"/>
    </row>
    <row r="53" spans="1:15" s="19" customFormat="1" ht="12.75" x14ac:dyDescent="0.2">
      <c r="A53" s="19" t="s">
        <v>80</v>
      </c>
      <c r="E53" s="105">
        <v>4319882</v>
      </c>
      <c r="F53" s="105">
        <v>4723937</v>
      </c>
      <c r="G53" s="105">
        <v>4059031</v>
      </c>
      <c r="H53" s="28"/>
      <c r="I53" s="28"/>
      <c r="J53" s="28"/>
      <c r="K53" s="28"/>
      <c r="L53" s="28"/>
      <c r="M53" s="28"/>
      <c r="N53" s="28"/>
      <c r="O53" s="28"/>
    </row>
    <row r="54" spans="1:15" s="19" customFormat="1" ht="12.75" x14ac:dyDescent="0.2">
      <c r="A54" s="19" t="s">
        <v>313</v>
      </c>
      <c r="E54" s="105">
        <v>2983084</v>
      </c>
      <c r="F54" s="105">
        <v>3117946</v>
      </c>
      <c r="G54" s="105">
        <v>2294620</v>
      </c>
      <c r="H54" s="28"/>
      <c r="I54" s="28"/>
      <c r="J54" s="28"/>
      <c r="K54" s="28"/>
      <c r="L54" s="28"/>
      <c r="M54" s="28"/>
      <c r="N54" s="28"/>
      <c r="O54" s="28"/>
    </row>
    <row r="55" spans="1:15" s="19" customFormat="1" ht="12.75" x14ac:dyDescent="0.2">
      <c r="A55" s="19" t="s">
        <v>314</v>
      </c>
      <c r="E55" s="105">
        <v>1336798</v>
      </c>
      <c r="F55" s="105">
        <v>1605991</v>
      </c>
      <c r="G55" s="105">
        <v>1764411</v>
      </c>
      <c r="H55" s="28"/>
      <c r="I55" s="28"/>
      <c r="J55" s="28"/>
      <c r="K55" s="28"/>
      <c r="L55" s="28"/>
      <c r="M55" s="28"/>
      <c r="N55" s="28"/>
      <c r="O55" s="28"/>
    </row>
    <row r="56" spans="1:15" s="19" customFormat="1" ht="12.75" x14ac:dyDescent="0.2">
      <c r="A56" s="239" t="s">
        <v>315</v>
      </c>
      <c r="E56" s="105">
        <v>418746</v>
      </c>
      <c r="F56" s="105">
        <v>1007983</v>
      </c>
      <c r="G56" s="105">
        <v>1052031</v>
      </c>
      <c r="H56" s="28"/>
      <c r="I56" s="28"/>
      <c r="J56" s="28"/>
      <c r="K56" s="28"/>
      <c r="L56" s="28"/>
      <c r="M56" s="28"/>
      <c r="N56" s="28"/>
      <c r="O56" s="28"/>
    </row>
    <row r="57" spans="1:15" s="19" customFormat="1" ht="12.75" x14ac:dyDescent="0.2">
      <c r="A57" s="239" t="s">
        <v>319</v>
      </c>
      <c r="E57" s="105">
        <v>32285</v>
      </c>
      <c r="F57" s="105">
        <v>28328</v>
      </c>
      <c r="G57" s="105">
        <v>23391</v>
      </c>
      <c r="H57" s="28"/>
      <c r="I57" s="28"/>
      <c r="J57" s="28"/>
      <c r="K57" s="28"/>
      <c r="L57" s="28"/>
      <c r="M57" s="28"/>
      <c r="N57" s="28"/>
      <c r="O57" s="28"/>
    </row>
    <row r="58" spans="1:15" s="19" customFormat="1" ht="12.75" x14ac:dyDescent="0.2">
      <c r="A58" s="239" t="s">
        <v>320</v>
      </c>
      <c r="E58" s="105">
        <v>28629</v>
      </c>
      <c r="F58" s="105">
        <v>31639</v>
      </c>
      <c r="G58" s="105">
        <v>7252</v>
      </c>
      <c r="H58" s="28"/>
      <c r="I58" s="28"/>
      <c r="J58" s="28"/>
      <c r="K58" s="28"/>
      <c r="L58" s="28"/>
      <c r="M58" s="28"/>
      <c r="N58" s="28"/>
      <c r="O58" s="28"/>
    </row>
    <row r="59" spans="1:15" s="19" customFormat="1" ht="12.75" x14ac:dyDescent="0.2">
      <c r="A59" s="239" t="s">
        <v>316</v>
      </c>
      <c r="E59" s="105">
        <v>539639</v>
      </c>
      <c r="F59" s="105">
        <v>1075136</v>
      </c>
      <c r="G59" s="105">
        <v>896423</v>
      </c>
      <c r="H59" s="28"/>
      <c r="I59" s="28"/>
      <c r="J59" s="28"/>
      <c r="K59" s="28"/>
      <c r="L59" s="28"/>
      <c r="M59" s="28"/>
      <c r="N59" s="28"/>
      <c r="O59" s="28"/>
    </row>
    <row r="60" spans="1:15" s="19" customFormat="1" ht="12.75" x14ac:dyDescent="0.2">
      <c r="A60" s="19" t="s">
        <v>317</v>
      </c>
      <c r="E60" s="105">
        <v>411537</v>
      </c>
      <c r="F60" s="105">
        <v>854196</v>
      </c>
      <c r="G60" s="105">
        <v>710911</v>
      </c>
      <c r="H60" s="28"/>
      <c r="I60" s="28"/>
      <c r="J60" s="28"/>
      <c r="K60" s="28"/>
      <c r="L60" s="28"/>
      <c r="M60" s="28"/>
      <c r="N60" s="28"/>
      <c r="O60" s="28"/>
    </row>
    <row r="61" spans="1:15" s="19" customFormat="1" ht="12.75" x14ac:dyDescent="0.2">
      <c r="A61" s="320" t="s">
        <v>81</v>
      </c>
      <c r="B61" s="320"/>
      <c r="C61" s="320"/>
      <c r="D61" s="320"/>
      <c r="E61" s="321">
        <f>E52-DATE(YEAR(E52),1,1)+1</f>
        <v>365</v>
      </c>
      <c r="F61" s="321">
        <f>F52-DATE(YEAR(F52),1,1)+1</f>
        <v>366</v>
      </c>
      <c r="G61" s="321">
        <f>G52-DATE(YEAR(G52),1,1)+1</f>
        <v>365</v>
      </c>
      <c r="H61" s="28"/>
      <c r="I61" s="28"/>
      <c r="J61" s="28"/>
      <c r="K61" s="28"/>
      <c r="L61" s="28"/>
      <c r="M61" s="28"/>
      <c r="N61" s="28"/>
      <c r="O61" s="28"/>
    </row>
    <row r="64" spans="1:15" ht="15" customHeight="1" x14ac:dyDescent="0.2">
      <c r="A64" s="18" t="s">
        <v>234</v>
      </c>
      <c r="E64" s="232">
        <f>IFERROR((E15)/(E40-E48-E46),"")</f>
        <v>3.2836953360921597</v>
      </c>
      <c r="F64" s="232">
        <f>IFERROR((F15)/(F40-F48-F46),"")</f>
        <v>2.982127629056134</v>
      </c>
      <c r="G64" s="232">
        <f>IFERROR((G15)/(G40-G48-G46),"")</f>
        <v>3.1109339266525224</v>
      </c>
    </row>
    <row r="65" spans="1:7" ht="15" customHeight="1" x14ac:dyDescent="0.2">
      <c r="A65" s="18" t="s">
        <v>4</v>
      </c>
      <c r="E65" s="232">
        <f>IFERROR((E18+E16)/(E40-E48-E46),"")</f>
        <v>1.7494150542444917</v>
      </c>
      <c r="F65" s="232">
        <f>IFERROR((F18+F16)/(F40-F48-F46),"")</f>
        <v>1.7555589920471366</v>
      </c>
      <c r="G65" s="232">
        <f>IFERROR((G18+G16)/(G40-G48-G46),"")</f>
        <v>1.3393491857934037</v>
      </c>
    </row>
    <row r="66" spans="1:7" ht="15" customHeight="1" x14ac:dyDescent="0.2">
      <c r="A66" s="18" t="s">
        <v>343</v>
      </c>
      <c r="E66" s="322">
        <f>IFERROR((E20+E18-E42)/(E53/E61),"")</f>
        <v>166.83718559905108</v>
      </c>
      <c r="F66" s="322">
        <f>IFERROR((F20+F18-F42)/(F53/F61),"")</f>
        <v>140.56013024729162</v>
      </c>
      <c r="G66" s="322">
        <f>IFERROR((G20+G18-G42)/(G53/G61),"")</f>
        <v>104.59377743111595</v>
      </c>
    </row>
    <row r="67" spans="1:7" ht="15" customHeight="1" x14ac:dyDescent="0.2">
      <c r="A67" s="18" t="s">
        <v>252</v>
      </c>
      <c r="E67" s="232">
        <f>IFERROR((E25)/E23,"")</f>
        <v>0.70509515482372809</v>
      </c>
      <c r="F67" s="232">
        <f>IFERROR((F25)/F23,"")</f>
        <v>0.67351065142555633</v>
      </c>
      <c r="G67" s="232">
        <f>IFERROR((G25)/G23,"")</f>
        <v>0.6922790742669428</v>
      </c>
    </row>
    <row r="68" spans="1:7" ht="15" customHeight="1" x14ac:dyDescent="0.2">
      <c r="A68" s="18" t="s">
        <v>41</v>
      </c>
      <c r="E68" s="322">
        <f>IFERROR((E56/E53)*100,"")</f>
        <v>9.6934592194879396</v>
      </c>
      <c r="F68" s="322">
        <f t="shared" ref="F68:G68" si="0">IFERROR((F56/F53)*100,"")</f>
        <v>21.337773979627585</v>
      </c>
      <c r="G68" s="322">
        <f t="shared" si="0"/>
        <v>25.918279510553134</v>
      </c>
    </row>
    <row r="69" spans="1:7" ht="15" customHeight="1" x14ac:dyDescent="0.2">
      <c r="A69" s="18" t="s">
        <v>235</v>
      </c>
      <c r="E69" s="232">
        <f>IFERROR((E34+E41)/((E59-E57+E58)/E61*365),"")</f>
        <v>0.30470929115289103</v>
      </c>
      <c r="F69" s="232">
        <f t="shared" ref="F69:G69" si="1">IFERROR((F34+F41)/((F59-F57+F58)/F61*365),"")</f>
        <v>0.16220914114818402</v>
      </c>
      <c r="G69" s="232">
        <f t="shared" si="1"/>
        <v>8.9657428738906975E-2</v>
      </c>
    </row>
    <row r="70" spans="1:7" x14ac:dyDescent="0.2">
      <c r="A70" s="8" t="s">
        <v>236</v>
      </c>
      <c r="E70" s="322">
        <f>IFERROR((E59+E58-E57)/(E58),"")</f>
        <v>18.72168081316148</v>
      </c>
      <c r="F70" s="322">
        <f t="shared" ref="F70:G70" si="2">IFERROR((F59+F58-F57)/(F58),"")</f>
        <v>34.086001453901829</v>
      </c>
      <c r="G70" s="322">
        <f t="shared" si="2"/>
        <v>121.3849972421401</v>
      </c>
    </row>
    <row r="71" spans="1:7" x14ac:dyDescent="0.2">
      <c r="A71" s="8" t="s">
        <v>253</v>
      </c>
      <c r="E71" s="232">
        <f>IFERROR((E25-E27+E48-E7)/(E15),"")</f>
        <v>0.68527448677635061</v>
      </c>
      <c r="F71" s="232">
        <f>IFERROR((F25-F27+F48-F7)/(F15),"")</f>
        <v>0.65401698481887871</v>
      </c>
      <c r="G71" s="232">
        <f>IFERROR((G25-G27+G48-G7)/(G15),"")</f>
        <v>0.66896155068248675</v>
      </c>
    </row>
    <row r="72" spans="1:7" x14ac:dyDescent="0.2">
      <c r="A72" s="8" t="s">
        <v>254</v>
      </c>
      <c r="E72" s="322">
        <f>IFERROR(((E59+E58-E57)/E61*365)/((E25+E33+F25+F33)/2)*100,"")</f>
        <v>26.007658916203187</v>
      </c>
      <c r="F72" s="322">
        <f>IFERROR(((F59+F58-F57)/F61*365)/((F25+F33+G25+G33)/2)*100,"")</f>
        <v>65.990770714054079</v>
      </c>
      <c r="G72" s="322">
        <f>IFERROR(((G59+G58-G57)/G61*365)/((G25+G33+H25+H33)/2)*100,"")</f>
        <v>130.15887567183933</v>
      </c>
    </row>
    <row r="73" spans="1:7" x14ac:dyDescent="0.2">
      <c r="A73" s="8" t="s">
        <v>237</v>
      </c>
      <c r="E73" s="232" t="str">
        <f>IFERROR(IF((IFERROR((E15)/(E40-E48-E46),"")/IFERROR((F15)/(F40-F48-F46),"")-1)&gt;0.1,"Рост",IF((IFERROR((E15)/(E40-E48-E46),"")/IFERROR((F15)/(F40-F48-F46),"")-1)&lt;-0.1,"Снижение","На прежнем уровне")),"Нет данных")</f>
        <v>Рост</v>
      </c>
      <c r="F73" s="232" t="str">
        <f>IFERROR(IF((IFERROR((F15)/(F40-F48-F46),"")/IFERROR((G15)/(G40-G48-G46),"")-1)&gt;0.1,"Рост",IF((IFERROR((F15)/(F40-F48-F46),"")/IFERROR((G15)/(G40-G48-G46),"")-1)&lt;-0.1,"Снижение","На прежнем уровне")),"Нет данных")</f>
        <v>На прежнем уровне</v>
      </c>
      <c r="G73" s="232" t="str">
        <f>IFERROR(IF((IFERROR((G15)/(G40-G48-G46),"")/IFERROR((H15)/(H40-H48-H46),"")-1)&gt;0.1,"Рост",IF((IFERROR((G15)/(G40-G48-G46),"")/IFERROR((H15)/(H40-H48-H46),"")-1)&lt;-0.1,"Снижение","На прежнем уровне")),"Нет данных")</f>
        <v>Нет данных</v>
      </c>
    </row>
    <row r="74" spans="1:7" x14ac:dyDescent="0.2">
      <c r="A74" s="8" t="s">
        <v>238</v>
      </c>
      <c r="E74" s="232" t="str">
        <f>IFERROR(IF((IFERROR(((E56/E53)*100),"")/IFERROR(((F56/F53)*100),"")-1)&gt;0.1,"Рост",IF((IFERROR(((E56/E53)*100),"")/IFERROR((F56/F53)*100,"")-1)&lt;-0.1,"Снижение","На прежнем уровне")),"Нет данных")</f>
        <v>Снижение</v>
      </c>
      <c r="F74" s="232" t="str">
        <f t="shared" ref="F74:G74" si="3">IFERROR(IF((IFERROR(((F56/F53)*100),"")/IFERROR(((G56/G53)*100),"")-1)&gt;0.1,"Рост",IF((IFERROR(((F56/F53)*100),"")/IFERROR((G56/G53)*100,"")-1)&lt;-0.1,"Снижение","На прежнем уровне")),"Нет данных")</f>
        <v>Снижение</v>
      </c>
      <c r="G74" s="232" t="str">
        <f t="shared" si="3"/>
        <v>Нет данных</v>
      </c>
    </row>
  </sheetData>
  <mergeCells count="1">
    <mergeCell ref="E4:F4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headerFooter>
    <oddHeader>&amp;CШ-13.08.01-01 Оценка кредитоспособности контрагента-покупателя нефти, газа и нефтепродуктов</oddHeader>
    <oddFooter>&amp;CШ-13.08.01-01 версия 2.0 Оценка кредитоспособности контрагента-покупателя нефти, газа и нефтепродуктов</oddFooter>
  </headerFooter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РСБУ расчет лимита</vt:lpstr>
      <vt:lpstr>РСБУ отчетность</vt:lpstr>
      <vt:lpstr>Подложка</vt:lpstr>
      <vt:lpstr>МСФО расчет лимита</vt:lpstr>
      <vt:lpstr>МСФО отчетность</vt:lpstr>
      <vt:lpstr>'МСФО отчетность'!Область_печати</vt:lpstr>
      <vt:lpstr>'МСФО расчет лимита'!Область_печати</vt:lpstr>
      <vt:lpstr>'РСБУ отчетность'!Область_печати</vt:lpstr>
      <vt:lpstr>'РСБУ расчет лимита'!Область_печати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Москвенкова</dc:creator>
  <cp:lastModifiedBy>Гусарова Мария Юрьевна</cp:lastModifiedBy>
  <cp:lastPrinted>2026-08-21T12:03:39Z</cp:lastPrinted>
  <dcterms:created xsi:type="dcterms:W3CDTF">2014-11-26T06:21:50Z</dcterms:created>
  <dcterms:modified xsi:type="dcterms:W3CDTF">2026-09-24T09:31:33Z</dcterms:modified>
</cp:coreProperties>
</file>